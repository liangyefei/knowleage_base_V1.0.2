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haisi\"/>
    </mc:Choice>
  </mc:AlternateContent>
  <bookViews>
    <workbookView windowWidth="24750" windowHeight="12080" activeTab="4"/>
  </bookViews>
  <sheets>
    <sheet name="01-计划总览" sheetId="1" r:id="rId1"/>
    <sheet name="02-周计划明细" sheetId="2" r:id="rId2"/>
    <sheet name="03-配置变更清单" sheetId="3" r:id="rId3"/>
    <sheet name="04-历史基线" sheetId="4" r:id="rId4"/>
    <sheet name="05-每周基建设置要求"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压测计划</author>
  </authors>
  <commentList>
    <comment ref="B4" authorId="0">
      <text>
        <r>
          <rPr>
            <sz val="10"/>
            <rFont val="宋体"/>
            <charset val="134"/>
          </rPr>
          <t>05 表「预估峰值流量」公式依赖本区域 B4:B7（200/1000/3000/5000）。禁止在此区域插入或删除行，否则 05 表公式将集体错位。修改目标并发请直接改数值，勿改布局。</t>
        </r>
      </text>
    </comment>
  </commentList>
</comments>
</file>

<file path=xl/sharedStrings.xml><?xml version="1.0" encoding="utf-8"?>
<sst xmlns="http://schemas.openxmlformats.org/spreadsheetml/2006/main" count="639" uniqueCount="445">
  <si>
    <t>知识库问答链路 · 阶梯压测计划（目标 5000 并发）</t>
  </si>
  <si>
    <t>编制日期：2026-10-24 ｜ 修订：2026-10-26 按审计报告修订 10 处（原版保留） ｜ 依据：10-10 / 10-12 / 10-13 / 10-14 / 10-16 历次压测报告 ｜ 周期：T+1 周递进（示例日期，按实际启动日顺延）</t>
  </si>
  <si>
    <t>一、测试对象与环境</t>
  </si>
  <si>
    <t/>
  </si>
  <si>
    <t>压测接口</t>
  </si>
  <si>
    <t>/hisilicon-knowledge/chat/messages/send（SSE 流式，TTFT=请求发出→首个流式内容分片，首包即断）</t>
  </si>
  <si>
    <t>目标环境</t>
  </si>
  <si>
    <t>华为云 CCE AutoPilot · 华南-广州 · http://113.45.181.210</t>
  </si>
  <si>
    <t>平台服务</t>
  </si>
  <si>
    <t>hisilicon-knowledge-platform-service · 当前 单Pod·1C（Pod wrk4q）</t>
  </si>
  <si>
    <t>问答服务</t>
  </si>
  <si>
    <t>haisi-rag-qa · 当前 单Pod·4C（Pod 585f8979b7，10-16 重新部署）</t>
  </si>
  <si>
    <t>大模型</t>
  </si>
  <si>
    <t>deepseek-v4-pro（阿里云百炼/DashScope 商用 API，非自建推理）——默认 RPM / TPM / 在途并发路数均远低于 5000 并发需求，提额或独享实例为 W2 起硬准入；限额与 token 耗费明细见 05 表</t>
  </si>
  <si>
    <t>压测工具</t>
  </si>
  <si>
    <t>Locust（TTFT 首包即断口径）+ 五件套 + ttft_log 全量导出</t>
  </si>
  <si>
    <t>二、历史关键结论（计划依据）</t>
  </si>
  <si>
    <t>结论1</t>
  </si>
  <si>
    <t>平台服务（单Pod·1C）是 502 风暴瓶颈：10-13 / 10-14 / 10-16 三次风暴签名一致（日志静默数秒→readiness 失败→网关 502→积压冲刷自愈）；根因指向 reactive DB 连接池耗尽且 readiness 探针与业务池强绑定</t>
  </si>
  <si>
    <t>结论2</t>
  </si>
  <si>
    <t>问答服务实际算力需求 ≈3.2 核 / 180 并发（10-14 实测），与规格无关；4C 跑 200 并发未验证通过</t>
  </si>
  <si>
    <t>结论3</t>
  </si>
  <si>
    <t>LLM 下游停滞风险：10-16 出现 58% 样本恒定 52~57s（50s 级超时重试指纹），10-12 出现 82% 无首包——5000 并发前必须取得 LLM 侧容量承诺</t>
  </si>
  <si>
    <t>结论4</t>
  </si>
  <si>
    <t>平台前置接口逐日恶化：login 中位 7.1s(10-13)→12~13.4s(10-14)→13.6s(10-16)，扩并发前需完成 login 缓存/token 复用改造</t>
  </si>
  <si>
    <t>三、通过标准（SLO，全部满足判通过）</t>
  </si>
  <si>
    <t>SLO1 错误率</t>
  </si>
  <si>
    <t>≤ 1%（502 / 超时 / 无首包合计）</t>
  </si>
  <si>
    <t>SLO2 TTFT</t>
  </si>
  <si>
    <t>中位 ≤ 5s 且 P95 ≤ 10s（SLO 为通过线；健康基线 中位 3.2s / P95 5.5s 为目标线，报告同时呈现两者）</t>
  </si>
  <si>
    <t>SLO3 前置接口</t>
  </si>
  <si>
    <t>login 中位 ≤ 3s、P95 ≤ 8s；建会话错误率 ≤ 1%</t>
  </si>
  <si>
    <t>SLO4 资源水位</t>
  </si>
  <si>
    <t>平台 / QA Pod CPU 峰值 ≤ 70%、内存 ≤ 80%，HPA 未触顶震荡</t>
  </si>
  <si>
    <t>SLO5 稳定性</t>
  </si>
  <si>
    <t>无 readiness 探针失败、无 Pod 重启 / OOM、无平台日志静默 &gt; 2s、TTFT &gt; 20s 样本占比 ≤ 1%、TTFT 无持续恶化趋势（任一不满足即判不通过）。注：「连续 3 个采样周期出现 TTFT &gt; 20s 样本」为止涨线停压触发条件（见下），不作为通过判定——5000 并发下每 10s 窗口约 1 万样本，0 容忍与占比 ≤1% 互斥且几乎必挂</t>
  </si>
  <si>
    <t>SLO6 可复现</t>
  </si>
  <si>
    <t>TTFT 中位与 P95 的轮间偏差均 ≤ 15%，错误率绝对值偏差 ≤ 0.5 个百分点（中位指 TTFT 中位）</t>
  </si>
  <si>
    <t>四、里程碑（T+1 周阶梯）</t>
  </si>
  <si>
    <t>T0 准备周</t>
  </si>
  <si>
    <t>2026-10-26 ~ 10-30：完成 W1 准入改造（DB 连接池 / readiness 解耦 / LLM 停滞确认）+ 压测基建（Locust 分布式 / 5000 账号 / 监控告警）</t>
  </si>
  <si>
    <t>W1 第1周</t>
  </si>
  <si>
    <t>2026-11-02 ~ 11-06：200 并发基线回归（验证 10-16 两个问题闭环 + 180 回归）</t>
  </si>
  <si>
    <t>W2 第2周</t>
  </si>
  <si>
    <t>2026-11-09 ~ 11-13：1000 并发（平台/QA 首次横向扩容验证）</t>
  </si>
  <si>
    <t>W3 第3周</t>
  </si>
  <si>
    <t>2026-11-16 ~ 11-20：3000 并发（HPA + 数据库/LLM 容量验证）</t>
  </si>
  <si>
    <t>W4 第4周</t>
  </si>
  <si>
    <t>2026-11-23 ~ 11-27：5000 并发主压（20min）+ 5000 稳态观测（30min）+ 4000 并发 60min 长跑 + 突刺演练</t>
  </si>
  <si>
    <t>五、通用规则</t>
  </si>
  <si>
    <t>止涨线</t>
  </si>
  <si>
    <t>任一轮错误率 &gt; 10% 或出现 readiness 失败 / 日志静默 → 立即停止爬坡，保留五件套+日志+监控截图，分析闭环后方可重测；连续 3 个采样周期（≤10s/周期）出现 TTFT &gt; 20s 样本即立即停压（停滞早期信号，早于占比 1% 阈值）</t>
  </si>
  <si>
    <t>回滚/降级预案</t>
  </si>
  <si>
    <t>触发止涨线或任一轮不通过时按序执行：① Locust 立即止压；② HPA 扩容上限封顶、副本缩回上一稳定档位；③ LLM 切备用配额 / 降级模型档 / 限流熔断；④ 平台与 QA 回滚至上一通过版本镜像；⑤ 保留五件套 + 日志 + 监控截图，责任人签字后安排复测</t>
  </si>
  <si>
    <t>压测窗口隔离</t>
  </si>
  <si>
    <t>开压前确认 113.45.181.210 环境独占性：压测期间禁止其他团队共用该环境 / RDS / LLM 账号；若为共享环境，须提前公告压测窗口并评估对同集群其他服务的影响</t>
  </si>
  <si>
    <t>数据留存</t>
  </si>
  <si>
    <t>每轮导出 Locust 五件套 + ttft_log 全量；平台/QA 日志覆盖压测窗前后各 5 分钟；CCE 事件（readiness/OOM/HPA）；LLM 网关排队与限流指标；每轮输出 HTML 报告并更新历次基线表</t>
  </si>
  <si>
    <t>报告对齐</t>
  </si>
  <si>
    <t>每轮报告沿用 qa-stream-load-test-report 系列版式，规格档案卡置于顶部，结果追加至历次汇总表</t>
  </si>
  <si>
    <t>周计划明细（核心表 · 日期为示例，按实际启动日顺延；每周至少主压+复测两轮取中位）</t>
  </si>
  <si>
    <t>周次</t>
  </si>
  <si>
    <t>日期窗（示例）</t>
  </si>
  <si>
    <t>轮次</t>
  </si>
  <si>
    <t>目标并发</t>
  </si>
  <si>
    <t>爬坡策略</t>
  </si>
  <si>
    <t>持续时长</t>
  </si>
  <si>
    <t>前置准入（本周开压前必须完成）</t>
  </si>
  <si>
    <t>压测机资源</t>
  </si>
  <si>
    <t>监控与数据采集</t>
  </si>
  <si>
    <t>通过标准（SLO 见 01 表）</t>
  </si>
  <si>
    <t>不通过处置</t>
  </si>
  <si>
    <t>10-26 ~ 10-30</t>
  </si>
  <si>
    <t>改造准入</t>
  </si>
  <si>
    <t>—</t>
  </si>
  <si>
    <t>① 平台 reactive DB 连接池 ≥ 400（集群总额，单 Pod 池=总额÷副本数）——验收：50 并发冒烟时，平台 Pod 池活跃连接数曲线达到设定值且无等待超时日志；② readiness 探针与业务 DB 池解耦——验收：故障注入打满业务池，readiness 仍返回 200；③ LLM 配额书面确认 RPM ≥ 60,000 / TPM ≥ 1.5 亿 / 同时在途生成路数 ≥ 6,000（或独享实例等效吞吐）——验收：10-16 同款 prompt 回放 200 次，TTFT &gt; 20s 样本 = 0，并留存 429/Throttling 实测样例；注：LLM 提额/独享实例采购周期约 2 周且不可临时期票，故 T0 一次锁定终档，DB/网关/副本按各周准入逐档提升；④ login token 缓存——验收：50 并发 login 中位 ≤ 1s、缓存命中率指标可见；⑤ 数据库 max_connections ≥ 1,000——验收：RDS 实例实测值 ≥ 目标且参数模板允许该值（MySQL 默认常仅数百~数千，改参数需重启验证）；⑥ 与阿里云确认：客户端首包即断（SSE abort）后推理槽位是否即时释放——若否，在途路数与 TPM 需求须按完整生成时长重算，本计划所有 LLM 配额同步放大</t>
  </si>
  <si>
    <t>Locust master ×1（4C8G）+ worker ×2（8C16G）预部署</t>
  </si>
  <si>
    <t>部署 Pod CPU/内存 80% 告警、readiness/OOM 事件订阅、DB 连接数与 LLM 网关指标看板</t>
  </si>
  <si>
    <t>改造项全部上线并冒烟通过（50 并发冒烟 0 失败）</t>
  </si>
  <si>
    <t>任一项未完成则整体计划顺延，不得带病开压</t>
  </si>
  <si>
    <t>压测基建</t>
  </si>
  <si>
    <t>① 预建 5000 账号（每用户 1 账号）并 login 预热取 token，避免起压 login 洪峰（历史 login 中位 13.6s）；token TTL ≥ 最长压测时长 + 30min，或压测期间滑动续期——验收：60min 长跑无二次 login 洪峰（login QPS 曲线平稳）；② 题目池扩充至 ≥ 500 条；③ worker 与目标环境网络打通、FD 上限调优（每 worker ≥ 6000 句柄）</t>
  </si>
  <si>
    <t>同上</t>
  </si>
  <si>
    <t>试跑 1 轮 50 并发验证全链路数据采集完整（五件套 + ttft_log + 日志 + 截图）</t>
  </si>
  <si>
    <t>采集件齐全、报告流水线可用</t>
  </si>
  <si>
    <t>补齐后再进入 W1</t>
  </si>
  <si>
    <t>11-02 ~ 11-06</t>
  </si>
  <si>
    <t>R1 预热轮</t>
  </si>
  <si>
    <t>150</t>
  </si>
  <si>
    <t>50→100→150 阶梯</t>
  </si>
  <si>
    <t>每档 5min，共 15min</t>
  </si>
  <si>
    <t>T0 准入项全部闭环；平台 2C×1、QA 4C×1（05 表 W1）；不启用 HPA；基建设置（Pod/负载均衡/带宽/数据库/LLM）按「05-每周基建设置要求」逐项到位并复核</t>
  </si>
  <si>
    <t>worker ×1</t>
  </si>
  <si>
    <t>常规采集 + LLM 网关 TTFT 指标</t>
  </si>
  <si>
    <t>错误率 0；TTFT 中位 ≤ 5s</t>
  </si>
  <si>
    <t>排查环境变更，不开主压</t>
  </si>
  <si>
    <t>R2 主压轮</t>
  </si>
  <si>
    <t>200</t>
  </si>
  <si>
    <t>1~2s 爬满 200（沿用历史爬坡）</t>
  </si>
  <si>
    <t>10min</t>
  </si>
  <si>
    <t>R1 通过</t>
  </si>
  <si>
    <t>常规采集；重点对照 10-16 两个问题（502 风暴 / TTFT 恶化）是否闭环</t>
  </si>
  <si>
    <t>SLO 全部满足（重点：错误率 ≤1%、无日志静默、TTFT 无 &gt;20s 样本）</t>
  </si>
  <si>
    <t>止涨线：停压保留现场，按 02/03 表核对 DB 池与 readiness 改造是否生效；随后执行降级预案（HPA 扩容封顶 → LLM 切备用配额/降级模型 → 平台回滚上一版本，见 01 表）</t>
  </si>
  <si>
    <t>R3 复测+回归</t>
  </si>
  <si>
    <t>200 / 180</t>
  </si>
  <si>
    <t>200 复测 1 轮 + 180 并发回归 1 轮</t>
  </si>
  <si>
    <t>各 10min</t>
  </si>
  <si>
    <t>R2 通过</t>
  </si>
  <si>
    <t>常规采集</t>
  </si>
  <si>
    <t>复测中位偏差 ≤15%；180 并发维持 10-14 通过水平（0 失败）</t>
  </si>
  <si>
    <t>偏差 &gt;15% 或 180 回归失败 → 检查 Pod 重新部署后的性能回归；随后执行降级预案（HPA 扩容封顶 → LLM 切备用配额/降级模型 → 平台回滚上一版本，见 01 表）</t>
  </si>
  <si>
    <t>11-09 ~ 11-13</t>
  </si>
  <si>
    <t>700</t>
  </si>
  <si>
    <t>200→400→700 阶梯</t>
  </si>
  <si>
    <t>W1 通过；平台 4C×4、QA 4C×6（HPA 4~8，CPU 60% 触发）；DB 池 ≥ 1200（集群总额）、数据库 max_connections ≥ 2500；LLM RPM ≥ 1.2 万 / TPM ≥ 3000 万 / 在途路数 ≥ 1,200；网关 / Ingress 流式并发 ≥ 1200；平台脱离 LLM 直压摸底完成（login+建会话+chat 打桩回环，验证 4C×4 下 login ≤3s、无 502）；基建设置（Pod/负载均衡/带宽/数据库/LLM）按「05-每周基建设置要求」逐项到位并复核</t>
  </si>
  <si>
    <t>worker ×2</t>
  </si>
  <si>
    <t>常规采集 + HPA 扩缩容事件 + 数据库连接数曲线</t>
  </si>
  <si>
    <t>错误率 ≤1%；扩容过程无请求失败</t>
  </si>
  <si>
    <t>扩容慢导致失败 → 调 HPA 灵敏度后重测</t>
  </si>
  <si>
    <t>1000</t>
  </si>
  <si>
    <t>30s 爬满 1000</t>
  </si>
  <si>
    <t>worker ×2（每 worker ≤500 用户）</t>
  </si>
  <si>
    <t>常规采集 + LLM RPM/TPM 实测（对照配额 RPM ≥ 1.2 万 / TPM ≥ 3000 万）+ 429/Throttling 计数曲线</t>
  </si>
  <si>
    <t>SLO 全部满足；平台/QA CPU ≤70%</t>
  </si>
  <si>
    <t>止涨线；重点核查 DB 池打满 / LLM 排队 / 网关连接数三类证据；随后执行降级预案（HPA 扩容封顶 → LLM 切备用配额/降级模型 → 平台回滚上一版本，见 01 表）</t>
  </si>
  <si>
    <t>R3 复测轮</t>
  </si>
  <si>
    <t>复测 1 轮</t>
  </si>
  <si>
    <t>复测中位偏差 ≤15%</t>
  </si>
  <si>
    <t>偏差大 → 检查 HPA 震荡 / LLM 波动，第 3 轮取中位；随后执行降级预案（HPA 扩容封顶 → LLM 切备用配额/降级模型 → 平台回滚上一版本，见 01 表）</t>
  </si>
  <si>
    <t>11-16 ~ 11-20</t>
  </si>
  <si>
    <t>2400</t>
  </si>
  <si>
    <t>1000→1800→2400 阶梯</t>
  </si>
  <si>
    <t>W2 通过；平台 4C×8、QA 4C×14（HPA 10~16）；DB 池 ≥ 3600（集群总额）、max_connections ≥ 5000；LLM RPM ≥ 3.6 万 / TPM ≥ 9000 万 / 在途路数 ≥ 3,600；网关 / Ingress 连接上限 ≥ 3600 流式长连接；基建设置（Pod/负载均衡/带宽/数据库/LLM）按「05-每周基建设置要求」逐项到位并复核</t>
  </si>
  <si>
    <t>worker ×4</t>
  </si>
  <si>
    <t>常规采集 + 全组件连接数水位</t>
  </si>
  <si>
    <t>错误率 ≤1%；资源水位 ≤70%/80%</t>
  </si>
  <si>
    <t>任一组件先触顶 → 记录为该周容量结论，按 03 表补容后重测</t>
  </si>
  <si>
    <t>3000</t>
  </si>
  <si>
    <t>60s 爬满 3000</t>
  </si>
  <si>
    <t>worker ×4（每 worker ≤750）</t>
  </si>
  <si>
    <t>常规采集 + LLM 429/Throttling 与排队深度指标（RPM/TPM 口径）</t>
  </si>
  <si>
    <t>SLO 全部满足</t>
  </si>
  <si>
    <t>止涨线；随后执行降级预案（HPA 扩容封顶 → LLM 切备用配额/降级模型 → 平台回滚上一版本，见 01 表）</t>
  </si>
  <si>
    <t>R3 复测+突刺</t>
  </si>
  <si>
    <t>复测 1 轮；另做 1 轮 3000 稳态中突加 30% 至 3900 持续 2min</t>
  </si>
  <si>
    <t>10min + 10min</t>
  </si>
  <si>
    <t>复测偏差 ≤15%；突刺期错误率 ≤3% 且 2min 内恢复</t>
  </si>
  <si>
    <t>突刺失败 → 评估 HPA 上限与连接池余量；随后执行降级预案（HPA 扩容封顶 → LLM 切备用配额/降级模型 → 平台回滚上一版本，见 01 表）</t>
  </si>
  <si>
    <t>11-23 ~ 11-27</t>
  </si>
  <si>
    <t>4500</t>
  </si>
  <si>
    <t>2000→3500→4500 阶梯</t>
  </si>
  <si>
    <t>W3 通过；平台 4C×12、QA 4C×22（HPA 16~26）；DB 池 ≥ 6000（集群总额）、max_connections ≥ 8000；LLM RPM ≥ 6 万 / TPM ≥ 1.5 亿 / 在途路数 ≥ 6,000（独享实例）；网关 / Ingress 连接上限 ≥ 6000 流式长连接；基建设置（Pod/负载均衡/带宽/数据库/LLM）按「05-每周基建设置要求」逐项到位并复核</t>
  </si>
  <si>
    <t>worker ×6</t>
  </si>
  <si>
    <t>常规采集 + 全链路水位大盘</t>
  </si>
  <si>
    <t>错误率 ≤1%</t>
  </si>
  <si>
    <t>同 W3 处置</t>
  </si>
  <si>
    <t>5000</t>
  </si>
  <si>
    <t>90s 爬满 5000</t>
  </si>
  <si>
    <t>20min</t>
  </si>
  <si>
    <t>worker ×6（每 worker ≤850）</t>
  </si>
  <si>
    <t>常规采集 + 逐秒 502/TTFT 波形</t>
  </si>
  <si>
    <t>SLO 全部满足（TTFT 中位 ≤5s / P95 ≤10s、CPU ≤70%）</t>
  </si>
  <si>
    <t>止涨线；定位最先触顶组件并回填 03 表；随后执行降级预案（HPA 扩容封顶 → LLM 切备用配额/降级模型 → 平台回滚上一版本，见 01 表）</t>
  </si>
  <si>
    <t>R3 稳态观测轮</t>
  </si>
  <si>
    <t>爬满后恒定</t>
  </si>
  <si>
    <t>30min</t>
  </si>
  <si>
    <t>常规采集 + TTFT &gt; 20s 停滞样本逐笔留档 + LLM 429/Throttling 计数曲线</t>
  </si>
  <si>
    <t>趋势性确认轮（不参与 SLO1~4 判定）：30min 无恶化趋势、TTFT &gt; 20s 停滞样本占比 ≤ 1%（单点偶发不判停，持续停滞由止涨线触发停压）；异常样本全部留档。注：SLO5 与 01 表止涨线在 R3 期间同样生效；R3 异常样本不计入 W4 复测偏差（SLO6）统计</t>
  </si>
  <si>
    <t>出现停滞 → 立即停压，按 05 表 LLM 提额路径与阿里云对齐后重测；随后执行降级预案（HPA 扩容封顶 → LLM 切备用配额/降级模型 → 平台回滚上一版本，见 01 表）</t>
  </si>
  <si>
    <t>R4 稳定性长跑</t>
  </si>
  <si>
    <t>4000（80% 负载）</t>
  </si>
  <si>
    <t>60min</t>
  </si>
  <si>
    <t>R2 / R3 通过</t>
  </si>
  <si>
    <t>常规采集 + 分钟级资源曲线 + 内存泄漏观察（QA/平台 WorkingSet 趋势）+ login QPS 平稳性（验证 token TTL 策略）</t>
  </si>
  <si>
    <t>60min 内错误率 ≤ 1%、无慢化趋势（TTFT 中位漂移 ≤ 20%）、无内存持续增长、无二次 login 洪峰</t>
  </si>
  <si>
    <t>出现慢化/泄漏 → 缩短下一版本迭代节奏并单独立项；随后执行降级预案（HPA 扩容封顶 → LLM 切备用配额/降级模型 → 平台回滚上一版本，见 01 表）</t>
  </si>
  <si>
    <t>W4 轮次间隔规则：R2（20min）/ R3（30min）/ R4（60min）之间至少间隔 15min 冷却，冷却期内核对 HPA 已缩容完成、DB 连接数回落至基线、LLM 限流计数（429/Throttling）清零——LLM 限流窗口通常为分钟级滚动，未清零会污染下一轮结果。</t>
  </si>
  <si>
    <t>配置变更清单（当前值 → 各周目标值；理论核数/连接数按历史实测线性外推，以每周实测校准）</t>
  </si>
  <si>
    <t>阶段锚点</t>
  </si>
  <si>
    <t>T0/W1</t>
  </si>
  <si>
    <t>W2</t>
  </si>
  <si>
    <t>W3</t>
  </si>
  <si>
    <t>W4</t>
  </si>
  <si>
    <t>外推公式</t>
  </si>
  <si>
    <t>QA 核数 = 3.2 核 × (并发 / 180)；DB 连接 = 并发 × 1.2（每笔 chat 1~2 连接含余量）</t>
  </si>
  <si>
    <t>组件</t>
  </si>
  <si>
    <t>配置项</t>
  </si>
  <si>
    <t>当前值（10-16 实测）</t>
  </si>
  <si>
    <t>W1 · 200</t>
  </si>
  <si>
    <t>W2 · 1000</t>
  </si>
  <si>
    <t>W3 · 3000</t>
  </si>
  <si>
    <t>W4 · 5000</t>
  </si>
  <si>
    <t>变更依据（历史报告结论）</t>
  </si>
  <si>
    <t>CPU × 副本</t>
  </si>
  <si>
    <t>1C × 1（Pod wrk4q）</t>
  </si>
  <si>
    <t>2C × 1</t>
  </si>
  <si>
    <t>4C × 4</t>
  </si>
  <si>
    <t>4C × 8</t>
  </si>
  <si>
    <t>4C × 12</t>
  </si>
  <si>
    <t>平台从未在 200 并发以上实测且为实锤 502 瓶颈，本列为无锚点外推：login 13.6s→≤3s 约需 4.5C 起，叠加 5000 并发 SSE 代理转发与前置接口洪峰余量取 ≥25C 下限，W4 4C×12=48C；副本数以 05 表为权威，W2 起以 02 表「平台直压摸底」实测校准</t>
  </si>
  <si>
    <t>reactive DB 连接池</t>
  </si>
  <si>
    <t>未确认（疑为默认 10~20）</t>
  </si>
  <si>
    <t>业务连接池 = 并发 × 1.2 为集群总预算，单 Pod 池 = 总预算 ÷ 副本数（W4：6000÷12=500/Pod）；W1 取 T0 验收门槛 400 与公式值 240 的较大者，故 W1=400；10-14 实锤：DB 池耗尽 → readiness 失败 → 502，默许值远低于 200 并发需求</t>
  </si>
  <si>
    <t>readiness 探针</t>
  </si>
  <si>
    <t>含业务 DB 池健康检查</t>
  </si>
  <si>
    <t>与业务池解耦（预留专用连接或移除池检查）</t>
  </si>
  <si>
    <t>保持</t>
  </si>
  <si>
    <t>10-14 证据链：池耗尽连带探针失败导致网关摘除端点</t>
  </si>
  <si>
    <t>login / 建会话</t>
  </si>
  <si>
    <t>无缓存（中位 13.6s / 11.4s）</t>
  </si>
  <si>
    <t>login token 缓存 + 结果接口缓存</t>
  </si>
  <si>
    <t>5000 账号起压 login 洪峰会先打爆平台（结论4）</t>
  </si>
  <si>
    <t>4C × 1（Pod 585f8979b7）</t>
  </si>
  <si>
    <t>10-14 实测 ≈3.2 核/180 并发，与规格无关（结论2）；按线性外推 + HPA 兜底</t>
  </si>
  <si>
    <t>HPA</t>
  </si>
  <si>
    <t>无</t>
  </si>
  <si>
    <t>不启用</t>
  </si>
  <si>
    <t>启用（CPU 60% 触发；弹性区间统一见 05 表）</t>
  </si>
  <si>
    <t>横向扩容比单 Pod 纵向升配更稳，且 10-14 已证明 QA 用量随并发线性增长</t>
  </si>
  <si>
    <t>数据库</t>
  </si>
  <si>
    <t>max_connections</t>
  </si>
  <si>
    <t>未知（T0 实测验收）</t>
  </si>
  <si>
    <t>≥ 1000</t>
  </si>
  <si>
    <t>≥ 2500</t>
  </si>
  <si>
    <t>≥ 5000</t>
  </si>
  <si>
    <t>≥ 8000</t>
  </si>
  <si>
    <t>T0 验收：RDS 实例 max_connections 实测值 ≥ 目标且参数模板允许该值（MySQL 系默认常仅数百~数千，改参数模板需重启验证）；业务连接数 = 并发 × 1.2 为集群总额（单 Pod 池=总额÷副本数，勿按单 Pod 复制），另加管理/监控/QA 余量</t>
  </si>
  <si>
    <t>DB QPS 预估（次/s）</t>
  </si>
  <si>
    <t>次/s</t>
  </si>
  <si>
    <t>每请求 2~3 次 DB 查询（resolveKbIds 等，取 2.5）× 12 次/分钟 ÷ 60 = QPS；W1~W4 分别 100 / 500 / 1,500 / 2,500 QPS。QPS 而非连接数才是 RDS 规格的决定因素——W3 起读写分离评估，W4 前完成读副本接入或 Proxy</t>
  </si>
  <si>
    <t>LLM</t>
  </si>
  <si>
    <t>deepseek-v4-pro 容量</t>
  </si>
  <si>
    <t>未知（两次停滞先例）</t>
  </si>
  <si>
    <t>以 05 表 RPM / TPM 限流需求为准（公式联动）</t>
  </si>
  <si>
    <t>对外同时对齐 RPM / TPM / 在途并发路数三项配额——10-16 的 52~57s 恒定排队指纹证明在途路数是商用 API 最先触顶的硬约束；10-12 / 10-16 两次停滞均为 LLM 侧风险（结论3）</t>
  </si>
  <si>
    <t>网关 / Ingress</t>
  </si>
  <si>
    <t>流式长连接上限</t>
  </si>
  <si>
    <t>未知（需确认）</t>
  </si>
  <si>
    <t>≥ 250</t>
  </si>
  <si>
    <t>≥ 1200</t>
  </si>
  <si>
    <t>≥ 3600</t>
  </si>
  <si>
    <t>≥ 6000</t>
  </si>
  <si>
    <t>业务层流式并发上限（≈ 目标并发 × 1.2）；与 05 表「ELB 实例连接能力」不是同一层级——ELB 能力须远大于本值以吸收 HPA 摘挂、重试与空闲连接池</t>
  </si>
  <si>
    <t>压测端</t>
  </si>
  <si>
    <t>Locust 拓扑</t>
  </si>
  <si>
    <t>单机（200 用户已接近舒适上限）</t>
  </si>
  <si>
    <t>master 1 + worker 1</t>
  </si>
  <si>
    <t>master 1 + worker 2</t>
  </si>
  <si>
    <t>master 1 + worker 4</t>
  </si>
  <si>
    <t>master 1 + worker 6（8C16G/台）</t>
  </si>
  <si>
    <t>流式长连接对压测机 FD/内存要求高；每 worker ≤ 850 用户</t>
  </si>
  <si>
    <t>账号池 / 题目池</t>
  </si>
  <si>
    <t>200 账号 / ~120 题</t>
  </si>
  <si>
    <t>5000 账号预建 + token 预热；题目池 ≥ 500</t>
  </si>
  <si>
    <t>账号过少会复用 token 失效；题目池过小会放大缓存命中导致 TTFT 虚低</t>
  </si>
  <si>
    <t>监控告警</t>
  </si>
  <si>
    <t>告警规则</t>
  </si>
  <si>
    <t>人工截图</t>
  </si>
  <si>
    <t>Pod CPU/内存 80% 告警、readiness/OOM 事件订阅、DB 连接数、LLM 网关排队/限流看板</t>
  </si>
  <si>
    <t>10-14/10-16 依赖事后截图定位，实时告警可将止涨线前移</t>
  </si>
  <si>
    <t>内存 / Pod</t>
  </si>
  <si>
    <t>未确认（历史未暴露内存瓶颈）</t>
  </si>
  <si>
    <t>4G × 1 副本</t>
  </si>
  <si>
    <t>8G × 4 副本</t>
  </si>
  <si>
    <t>8G × 8 副本</t>
  </si>
  <si>
    <t>8G × 12 副本</t>
  </si>
  <si>
    <t>流式响应缓冲随并发增长；参照 MCP 服务 10-14 内存打满教训预留余量</t>
  </si>
  <si>
    <t>未确认（10-14 实测用量 30~34% of limit）</t>
  </si>
  <si>
    <t>8G × 1 副本</t>
  </si>
  <si>
    <t>8G × 6 副本</t>
  </si>
  <si>
    <t>8G × 14 副本</t>
  </si>
  <si>
    <t>8G × 22 副本</t>
  </si>
  <si>
    <t>5000 并发 SSE 连接缓冲 + 检索上下文；与 05 表副本数一致</t>
  </si>
  <si>
    <t>日期</t>
  </si>
  <si>
    <t>档位</t>
  </si>
  <si>
    <t>平台服务规格</t>
  </si>
  <si>
    <t>问答服务规格</t>
  </si>
  <si>
    <t>错误率</t>
  </si>
  <si>
    <t>TTFT 均值/P95 (s)</t>
  </si>
  <si>
    <t>判定</t>
  </si>
  <si>
    <t>10-10</t>
  </si>
  <si>
    <t>100</t>
  </si>
  <si>
    <t>未留档</t>
  </si>
  <si>
    <t>0%</t>
  </si>
  <si>
    <t>3.69 / 8.83</t>
  </si>
  <si>
    <t>通过</t>
  </si>
  <si>
    <t>6.90 / 13.37</t>
  </si>
  <si>
    <t>180</t>
  </si>
  <si>
    <t>6.35 / 11.18</t>
  </si>
  <si>
    <t>原规格</t>
  </si>
  <si>
    <t>61.1%</t>
  </si>
  <si>
    <t>10.97 / 19.42</t>
  </si>
  <si>
    <t>不通过（502 风暴）</t>
  </si>
  <si>
    <t>调整后</t>
  </si>
  <si>
    <t>3.3%</t>
  </si>
  <si>
    <t>8.21 / 15.63</t>
  </si>
  <si>
    <t>基本通过</t>
  </si>
  <si>
    <t>10-12</t>
  </si>
  <si>
    <t>120</t>
  </si>
  <si>
    <t>单Pod·1C</t>
  </si>
  <si>
    <t>单Pod·8C</t>
  </si>
  <si>
    <t>82% 无首包</t>
  </si>
  <si>
    <t>29.5 / 57.5（成功样本）</t>
  </si>
  <si>
    <t>不通过（LLM 停滞）</t>
  </si>
  <si>
    <t>10-13</t>
  </si>
  <si>
    <t>2.73 / 4.69</t>
  </si>
  <si>
    <t>3.44 / 5.40</t>
  </si>
  <si>
    <t>4.19 / 6.03</t>
  </si>
  <si>
    <t>29.3%</t>
  </si>
  <si>
    <t>3.63 / 5.06（健康时段）</t>
  </si>
  <si>
    <t>不通过（502 风暴 · 平台服务）</t>
  </si>
  <si>
    <t>10-14</t>
  </si>
  <si>
    <t>4.43 / 6.24</t>
  </si>
  <si>
    <t>单Pod·6C</t>
  </si>
  <si>
    <t>36.2%</t>
  </si>
  <si>
    <t>3.96 / 5.79（成功样本）</t>
  </si>
  <si>
    <t>0.14%</t>
  </si>
  <si>
    <t>3.81 / 5.65</t>
  </si>
  <si>
    <t>单Pod·4C</t>
  </si>
  <si>
    <t>4.27 / 6.20</t>
  </si>
  <si>
    <t>10-16</t>
  </si>
  <si>
    <t>51.1%</t>
  </si>
  <si>
    <t>27.69 / 56.51（恶化期中位 51.8）</t>
  </si>
  <si>
    <t>不通过（502 风暴 + LLM 停滞）</t>
  </si>
  <si>
    <t>注：10-13 的 120 并发（2.73 / 4.69）与 150 并发（3.44 / 5.40）为历史健康基线样本，SLO2 目标线「中位 3.2s / P95 5.5s」由其归纳；判定列「通过」= 当轮满足 SLO 通过线，不等于已达到健康基线。</t>
  </si>
  <si>
    <t>每周目标并发对应的基建设置要求（Pod / 负载均衡 / 带宽 / 数据库 / LLM / 压测端）</t>
  </si>
  <si>
    <t>外推口径：QA 实测 3.2 核 / 180 并发（10-14）；网络实测 2.1 MB/s ≈ 17 Mbps / 200 并发（10-14 QA Pod）；TTFT 中位按 SLO 5s 折算吞吐；公式引用 03 表锚点，改并发数自动重算</t>
  </si>
  <si>
    <t>类别</t>
  </si>
  <si>
    <t>单位</t>
  </si>
  <si>
    <t>W1 · 200 并发</t>
  </si>
  <si>
    <t>W2 · 1000 并发</t>
  </si>
  <si>
    <t>W3 · 3000 并发</t>
  </si>
  <si>
    <t>W4 · 5000 并发</t>
  </si>
  <si>
    <t>说明 / 外推依据</t>
  </si>
  <si>
    <t>计算资源</t>
  </si>
  <si>
    <t>平台服务 Pod（CPU × 副本）</t>
  </si>
  <si>
    <t>C × 个</t>
  </si>
  <si>
    <t>10-13/14/16 三次 502 风暴均在 1C×1 上发生；平台无 &gt;200 并发实测锚点，本列为无锚点外推（login 13.6s→≤3s 约 4.5C 起 + 代理转发与洪峰余量 → ≥25C 下限），实际以 W2 平台直压摸底与 HPA / 实测校准</t>
  </si>
  <si>
    <t>问答服务 Pod（CPU × 副本）</t>
  </si>
  <si>
    <t>4C × 1</t>
  </si>
  <si>
    <t>4C × 6</t>
  </si>
  <si>
    <t>4C × 14</t>
  </si>
  <si>
    <t>4C × 22</t>
  </si>
  <si>
    <t>线性外推 3.2 核/180 并发 → 200/1000/3000/5000 并发 ≈ 3.6/17.8/53.3/88.9 核；副本数向上取整并留 HPA 弹性区间（见下行）</t>
  </si>
  <si>
    <t>问答服务 HPA 弹性区间</t>
  </si>
  <si>
    <t>个</t>
  </si>
  <si>
    <t>2 ~ 4</t>
  </si>
  <si>
    <t>4 ~ 8</t>
  </si>
  <si>
    <t>10 ~ 16</t>
  </si>
  <si>
    <t>16 ~ 26</t>
  </si>
  <si>
    <t>CPU 60% 触发扩容；W3/W4 上限覆盖 +30% 突刺演练（02 表 R3）</t>
  </si>
  <si>
    <t>CCE 集群可调度核数（合计）</t>
  </si>
  <si>
    <t>C</t>
  </si>
  <si>
    <t>≥ 24</t>
  </si>
  <si>
    <t>≥ 64</t>
  </si>
  <si>
    <t>≥ 140</t>
  </si>
  <si>
    <t>≥ 220</t>
  </si>
  <si>
    <t>（平台 base + QA HPA 上限）× 1.3 调度余量：W1 (2+16)=18→24、W2 (16+32)=48→64、W3 (32+64)=96→140、W4 (48+104)=152×1.3≈198→取 220C 覆盖节点碎片与突发；节点池建议 16C32G 弹性节点，按周前置扩容</t>
  </si>
  <si>
    <t>负载均衡</t>
  </si>
  <si>
    <t>并发连接数</t>
  </si>
  <si>
    <t>条</t>
  </si>
  <si>
    <t>≥ 20,000</t>
  </si>
  <si>
    <t>≥ 50,000</t>
  </si>
  <si>
    <t>≥ 150,000</t>
  </si>
  <si>
    <t>≥ 300,000</t>
  </si>
  <si>
    <t>ELB 实例连接能力（按规格档位取整），须远大于业务层流式并发（03 表：250 / 1,200 / 3,600 / 6,000）；HPA 摘挂、失败重试、空闲连接池均占用连接，建议按目标并发 × 10 以上预留</t>
  </si>
  <si>
    <t>新建连接速率（CPS）</t>
  </si>
  <si>
    <t>条/s</t>
  </si>
  <si>
    <t>≥ 2,000</t>
  </si>
  <si>
    <t>≥ 5,000</t>
  </si>
  <si>
    <t>≥ 10,000</t>
  </si>
  <si>
    <t>≥ 15,000</t>
  </si>
  <si>
    <t>10-16 风暴期实测 742 req/s 失败重试尖峰（Locust 46ms 快速失败）；CPS 不足会在故障期放大 502</t>
  </si>
  <si>
    <t>实例规格（应用型 ELB）</t>
  </si>
  <si>
    <t>小型（≥2 万连接）</t>
  </si>
  <si>
    <t>中型（≥5 万）</t>
  </si>
  <si>
    <t>大型（≥15 万）</t>
  </si>
  <si>
    <t>超大型（≥30 万）</t>
  </si>
  <si>
    <t>按华为云应用型 ELB 并发连接数档位选择；压测前核对当前规格</t>
  </si>
  <si>
    <t>SSE 超时与会话保持</t>
  </si>
  <si>
    <t>读超时 ≥ 300s、空闲 ≥ 120s、关闭会话保持（SSE 无状态）</t>
  </si>
  <si>
    <t>同左</t>
  </si>
  <si>
    <t>10-16 慢样本 52~57s——网关超时若 &lt; 60s 会把「慢」切成「502」；健康检查间隔 ≥ 5s、连续 3 次失败才摘除（防抖）</t>
  </si>
  <si>
    <t>带宽</t>
  </si>
  <si>
    <t>SLB 出口带宽（EIP）</t>
  </si>
  <si>
    <t>Mbps</t>
  </si>
  <si>
    <t>50</t>
  </si>
  <si>
    <t>500</t>
  </si>
  <si>
    <t>实测 17 Mbps / 200 并发线性外推：5000 并发 ≈ 425 Mbps，含 50% 突刺余量与 LLM 下行放大取 1G；压测期间以 SLB 出带宽实测值回填本行，实测 &gt; 预估 80% 触发止涨线（纳入 SLO4 资源水位判定）</t>
  </si>
  <si>
    <t>预估峰值流量</t>
  </si>
  <si>
    <t>公式：17 Mbps ×（目标并发 / 200），锚点见 03 表；压测期间实测量值回填本行核对</t>
  </si>
  <si>
    <t>压测端带宽与位置</t>
  </si>
  <si>
    <t>压测机部署在与目标同 VPC（内网直压）；若走公网，出口带宽 ≥ 同档 SLB 带宽</t>
  </si>
  <si>
    <t>避免压测端公网带宽成为假瓶颈；worker（05 表）与 SLB 同地域；内网直压时 EIP 带宽仅约束真实用户侧流量，SLB 实例的并发连接 / CPS 规格仍须满足</t>
  </si>
  <si>
    <t>RDS 规格（主备）</t>
  </si>
  <si>
    <t>2C 独享型</t>
  </si>
  <si>
    <t>4C 独享型</t>
  </si>
  <si>
    <t>8C 独享型</t>
  </si>
  <si>
    <t>16C 独享型（或读写分离）</t>
  </si>
  <si>
    <t>chat 每笔触发 resolveKbIds 等查询；连接数要求见 03 表（240/1200/3600/6000，公式联动）</t>
  </si>
  <si>
    <t>连接入口</t>
  </si>
  <si>
    <t>直连</t>
  </si>
  <si>
    <t>直连 + 池上限核对</t>
  </si>
  <si>
    <t>评估 Proxy / 读写分离</t>
  </si>
  <si>
    <t>Proxy 常态化</t>
  </si>
  <si>
    <t>3000 并发起单实例连接数压力大；读多写少场景读副本分摊</t>
  </si>
  <si>
    <t xml:space="preserve">商业LLM </t>
  </si>
  <si>
    <t>并发生成路数（一级准入项 · 与阿里云书面确认）</t>
  </si>
  <si>
    <t>路</t>
  </si>
  <si>
    <t>≥ 1,200</t>
  </si>
  <si>
    <t>≥ 3,600</t>
  </si>
  <si>
    <t>≥ 6,000</t>
  </si>
  <si>
    <t>5000 用户首包即断循环 = 任意时刻 ~5000 路在途生成（Little 定律：req/s × TTFT）；商用 API 最先触顶的是在途并发而非 RPM/TPM——10-16 的 52~57s 恒定排队即其指纹，必须与 RPM/TPM 并列向阿里云书面确认（前提：SSE abort 即时释放推理槽位，见 02 表 T0 ⑥）</t>
  </si>
  <si>
    <t>限流需求 RPM（请求/分钟）</t>
  </si>
  <si>
    <t>次/min</t>
  </si>
  <si>
    <t>公式：并发 × 12 次/分钟（TTFT 中位 5s → 每用户 12 次循环）。注意：该 RPM 是「满足 SLO2（TTFT 中位≤5s）」的最小值而非跑起来的下限——配额不足时系统仍可运行，但 TTFT 按比例拉长、SLO2 必挂。阿里云百炼商用模型默认 RPM 通常为数百~数千级（按模型与账号流控等级，以控制台「模型观测/限流」页为准），60000 RPM 远超默认值 → W2 起必须工单提额或采购独享实例</t>
  </si>
  <si>
    <t>限流需求 TPM（tokens/分钟）</t>
  </si>
  <si>
    <t>tokens/min</t>
  </si>
  <si>
    <t>公式：RPM × ~2,515 tokens/次（input≈2,500：system + 知识库检索上下文 + 问题；output≈15：压测首包即断口径）。默认 TPM 限流典型为百万级，5000 并发需 ≈1.5 亿 TPM → 必须提额/独享实例；请以实际 prompt 长度实测校准</t>
  </si>
  <si>
    <t>token 耗费估算（全周轮次合计）</t>
  </si>
  <si>
    <t>tokens</t>
  </si>
  <si>
    <t>≈ 2.2 亿</t>
  </si>
  <si>
    <t>≈ 8.0 亿</t>
  </si>
  <si>
    <t>≈ 35.6 亿</t>
  </si>
  <si>
    <t>≈ 150 ~ 180 亿（按轮次表精算 ≈163 亿）</t>
  </si>
  <si>
    <t>估算法：Σ(各档时长 × 该档并发 × 12) × ~2,515 tokens/次（爬坡档按档位分别计）。W1≈2.2 亿 / W2≈8.0 亿 / W3≈35.6 亿 / W4≈163 亿（含 R1~R4 四轮，共约 648 万笔请求），全计划合计 ≈ 209 亿 tokens；若轮次再调整按同式重算。【口径注：为压测「首包即断」口径（output≈15 tokens），不代表生产 token 成本——真实用户完整生成 output≈500~800 tokens/次，生产容量与费用规划须另行按完整口径核算】；开启 context cache（命中部分约 2~8 折计费）+ 题目池复用可大幅压缩；费用按阿里云百炼各模型定价页核算，建议压测预算单列</t>
  </si>
  <si>
    <t>部署形态 / 提额路径</t>
  </si>
  <si>
    <t>公共 API 默认限额 + 工单提额</t>
  </si>
  <si>
    <t>工单提额（RPM≥1.2 万 / TPM≥3,000 万）</t>
  </si>
  <si>
    <t>百炼独享实例（专属吞吐）</t>
  </si>
  <si>
    <t>独享实例 / 专属部署（公共 API 默认限额不可承载）</t>
  </si>
  <si>
    <t>直接结论：商用大模型公共 API 的默认限流（RPM 数千、TPM 数百万级）不支持 5000 并发压测；可行路径=① 提额（提前 2 周工单）② 百炼独享实例 ③ 迁回自建推理（PAI，参考原 GPU 估算 单卡 25~50 路）。超限表现为 429/排队——即 10-16 的 52~57s 停滞形态</t>
  </si>
  <si>
    <t>Locust worker</t>
  </si>
  <si>
    <t>台（8C16G）</t>
  </si>
  <si>
    <t>1</t>
  </si>
  <si>
    <t>2</t>
  </si>
  <si>
    <t>4</t>
  </si>
  <si>
    <t>6</t>
  </si>
  <si>
    <t>每 worker ≤ 850 SSE 并发；master ×1（4C8G）固定</t>
  </si>
  <si>
    <t>可观测性</t>
  </si>
  <si>
    <t>监控与告警</t>
  </si>
  <si>
    <t>Pod CPU/内存 80% 告警、readiness/OOM 事件订阅、DB 连接数、LLM 排队/限流看板、SLB 5xx 与 CPS 曲线；采集周期 ≤ 10s</t>
  </si>
  <si>
    <t>10-14/10-16 依赖事后截图定位；实时告警用于止涨线前移</t>
  </si>
  <si>
    <t>注：SLB 档位为参考推算；LLM 为阿里云商用模型（deepseek-v4-pro，百炼/DashScope 账号），RPM/TPM 需求与 token 耗费为估算值——压测前一周须在阿里云控制台核对实际限流配额并由对应负责人书面确认到位；任一项未到位按 02 表 T0 规则顺延，不得带病开压。</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</si>
</sst>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2">
    <font>
      <sz val="11"/>
      <color theme="1"/>
      <name val="宋体"/>
      <charset val="134"/>
      <scheme val="minor"/>
    </font>
    <font>
      <b/>
      <sz val="12"/>
      <color rgb="FF17233B"/>
      <name val="微软雅黑"/>
      <charset val="134"/>
    </font>
    <font>
      <sz val="9"/>
      <color rgb="FF5D6B84"/>
      <name val="微软雅黑"/>
      <charset val="134"/>
    </font>
    <font>
      <b/>
      <sz val="10"/>
      <color rgb="FFFFFFFF"/>
      <name val="微软雅黑"/>
      <charset val="134"/>
    </font>
    <font>
      <b/>
      <sz val="11"/>
      <name val="微软雅黑"/>
      <charset val="134"/>
    </font>
    <font>
      <sz val="10"/>
      <name val="微软雅黑"/>
      <charset val="134"/>
    </font>
    <font>
      <b/>
      <sz val="10"/>
      <name val="微软雅黑"/>
      <charset val="134"/>
    </font>
    <font>
      <b/>
      <sz val="10"/>
      <color rgb="FFB45309"/>
      <name val="微软雅黑"/>
      <charset val="134"/>
    </font>
    <font>
      <b/>
      <sz val="9"/>
      <color rgb="FFB45309"/>
      <name val="微软雅黑"/>
      <charset val="134"/>
    </font>
    <font>
      <b/>
      <sz val="12"/>
      <name val="微软雅黑"/>
      <charset val="134"/>
    </font>
    <font>
      <b/>
      <sz val="11"/>
      <color rgb="FF2B5FD9"/>
      <name val="微软雅黑"/>
      <charset val="134"/>
    </font>
    <font>
      <b/>
      <sz val="14"/>
      <color rgb="FF17233B"/>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宋体"/>
      <charset val="134"/>
    </font>
  </fonts>
  <fills count="40">
    <fill>
      <patternFill patternType="none"/>
    </fill>
    <fill>
      <patternFill patternType="gray125"/>
    </fill>
    <fill>
      <patternFill patternType="solid">
        <fgColor rgb="FF2B5FD9"/>
        <bgColor indexed="64"/>
      </patternFill>
    </fill>
    <fill>
      <patternFill patternType="solid">
        <fgColor rgb="FFFFFFFF"/>
        <bgColor indexed="64"/>
      </patternFill>
    </fill>
    <fill>
      <patternFill patternType="solid">
        <fgColor rgb="FFF7F9FC"/>
        <bgColor indexed="64"/>
      </patternFill>
    </fill>
    <fill>
      <patternFill patternType="solid">
        <fgColor rgb="FFEAF2FF"/>
        <bgColor indexed="64"/>
      </patternFill>
    </fill>
    <fill>
      <patternFill patternType="solid">
        <fgColor rgb="FFFFF7E6"/>
        <bgColor indexed="64"/>
      </patternFill>
    </fill>
    <fill>
      <patternFill patternType="solid">
        <fgColor rgb="FFE8F6F3"/>
        <bgColor indexed="64"/>
      </patternFill>
    </fill>
    <fill>
      <patternFill patternType="solid">
        <fgColor rgb="FFFDECE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9DEE7"/>
      </left>
      <right style="thin">
        <color rgb="FFD9DEE7"/>
      </right>
      <top style="thin">
        <color rgb="FFD9DEE7"/>
      </top>
      <bottom style="thin">
        <color rgb="FFD9DEE7"/>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2" fillId="0" borderId="0">
      <alignment vertical="center"/>
    </xf>
    <xf numFmtId="0" fontId="13" fillId="0" borderId="0">
      <alignment vertical="center"/>
    </xf>
    <xf numFmtId="0" fontId="0" fillId="9" borderId="2">
      <alignment vertical="center"/>
    </xf>
    <xf numFmtId="0" fontId="14" fillId="0" borderId="0">
      <alignment vertical="center"/>
    </xf>
    <xf numFmtId="0" fontId="15" fillId="0" borderId="0">
      <alignment vertical="center"/>
    </xf>
    <xf numFmtId="0" fontId="16" fillId="0" borderId="0">
      <alignment vertical="center"/>
    </xf>
    <xf numFmtId="0" fontId="17" fillId="0" borderId="3">
      <alignment vertical="center"/>
    </xf>
    <xf numFmtId="0" fontId="18" fillId="0" borderId="3">
      <alignment vertical="center"/>
    </xf>
    <xf numFmtId="0" fontId="19" fillId="0" borderId="4">
      <alignment vertical="center"/>
    </xf>
    <xf numFmtId="0" fontId="19" fillId="0" borderId="0">
      <alignment vertical="center"/>
    </xf>
    <xf numFmtId="0" fontId="20" fillId="10" borderId="5">
      <alignment vertical="center"/>
    </xf>
    <xf numFmtId="0" fontId="21" fillId="11" borderId="6">
      <alignment vertical="center"/>
    </xf>
    <xf numFmtId="0" fontId="22" fillId="11" borderId="5">
      <alignment vertical="center"/>
    </xf>
    <xf numFmtId="0" fontId="23" fillId="12" borderId="7">
      <alignment vertical="center"/>
    </xf>
    <xf numFmtId="0" fontId="24" fillId="0" borderId="8">
      <alignment vertical="center"/>
    </xf>
    <xf numFmtId="0" fontId="25" fillId="0" borderId="9">
      <alignment vertical="center"/>
    </xf>
    <xf numFmtId="0" fontId="26" fillId="13" borderId="0">
      <alignment vertical="center"/>
    </xf>
    <xf numFmtId="0" fontId="27" fillId="14" borderId="0">
      <alignment vertical="center"/>
    </xf>
    <xf numFmtId="0" fontId="28" fillId="15" borderId="0">
      <alignment vertical="center"/>
    </xf>
    <xf numFmtId="0" fontId="29" fillId="16" borderId="0">
      <alignment vertical="center"/>
    </xf>
    <xf numFmtId="0" fontId="30" fillId="17" borderId="0">
      <alignment vertical="center"/>
    </xf>
    <xf numFmtId="0" fontId="30" fillId="18" borderId="0">
      <alignment vertical="center"/>
    </xf>
    <xf numFmtId="0" fontId="29" fillId="19" borderId="0">
      <alignment vertical="center"/>
    </xf>
    <xf numFmtId="0" fontId="29" fillId="20" borderId="0">
      <alignment vertical="center"/>
    </xf>
    <xf numFmtId="0" fontId="30" fillId="21" borderId="0">
      <alignment vertical="center"/>
    </xf>
    <xf numFmtId="0" fontId="30" fillId="22" borderId="0">
      <alignment vertical="center"/>
    </xf>
    <xf numFmtId="0" fontId="29" fillId="23" borderId="0">
      <alignment vertical="center"/>
    </xf>
    <xf numFmtId="0" fontId="29" fillId="24" borderId="0">
      <alignment vertical="center"/>
    </xf>
    <xf numFmtId="0" fontId="30" fillId="25" borderId="0">
      <alignment vertical="center"/>
    </xf>
    <xf numFmtId="0" fontId="30" fillId="26" borderId="0">
      <alignment vertical="center"/>
    </xf>
    <xf numFmtId="0" fontId="29" fillId="27" borderId="0">
      <alignment vertical="center"/>
    </xf>
    <xf numFmtId="0" fontId="29" fillId="28" borderId="0">
      <alignment vertical="center"/>
    </xf>
    <xf numFmtId="0" fontId="30" fillId="29" borderId="0">
      <alignment vertical="center"/>
    </xf>
    <xf numFmtId="0" fontId="30" fillId="30" borderId="0">
      <alignment vertical="center"/>
    </xf>
    <xf numFmtId="0" fontId="29" fillId="31" borderId="0">
      <alignment vertical="center"/>
    </xf>
    <xf numFmtId="0" fontId="29" fillId="32" borderId="0">
      <alignment vertical="center"/>
    </xf>
    <xf numFmtId="0" fontId="30" fillId="33" borderId="0">
      <alignment vertical="center"/>
    </xf>
    <xf numFmtId="0" fontId="30" fillId="34" borderId="0">
      <alignment vertical="center"/>
    </xf>
    <xf numFmtId="0" fontId="29" fillId="35" borderId="0">
      <alignment vertical="center"/>
    </xf>
    <xf numFmtId="0" fontId="29" fillId="36" borderId="0">
      <alignment vertical="center"/>
    </xf>
    <xf numFmtId="0" fontId="30" fillId="37" borderId="0">
      <alignment vertical="center"/>
    </xf>
    <xf numFmtId="0" fontId="30" fillId="38" borderId="0">
      <alignment vertical="center"/>
    </xf>
    <xf numFmtId="0" fontId="29" fillId="39" borderId="0">
      <alignment vertical="center"/>
    </xf>
  </cellStyleXfs>
  <cellXfs count="35">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wrapText="1"/>
    </xf>
    <xf numFmtId="0" fontId="4" fillId="3" borderId="1" xfId="0" applyFont="1" applyFill="1" applyBorder="1" applyAlignment="1">
      <alignment vertical="top" wrapText="1"/>
    </xf>
    <xf numFmtId="0" fontId="5" fillId="3" borderId="1" xfId="0" applyFont="1" applyFill="1" applyBorder="1" applyAlignment="1">
      <alignment vertical="top" wrapText="1"/>
    </xf>
    <xf numFmtId="0" fontId="4" fillId="4" borderId="1" xfId="0" applyFont="1" applyFill="1" applyBorder="1" applyAlignment="1">
      <alignment vertical="top" wrapText="1"/>
    </xf>
    <xf numFmtId="0" fontId="5" fillId="4" borderId="1" xfId="0" applyFont="1" applyFill="1" applyBorder="1" applyAlignment="1">
      <alignment vertical="top" wrapText="1"/>
    </xf>
    <xf numFmtId="0" fontId="6" fillId="3" borderId="1" xfId="0" applyFont="1" applyFill="1" applyBorder="1" applyAlignment="1">
      <alignment vertical="top" wrapText="1"/>
    </xf>
    <xf numFmtId="0" fontId="6" fillId="5" borderId="1" xfId="0" applyFont="1" applyFill="1" applyBorder="1" applyAlignment="1">
      <alignment vertical="top" wrapText="1"/>
    </xf>
    <xf numFmtId="0" fontId="5" fillId="5" borderId="1" xfId="0" applyFont="1" applyFill="1" applyBorder="1" applyAlignment="1">
      <alignment vertical="top" wrapText="1"/>
    </xf>
    <xf numFmtId="0" fontId="6" fillId="6" borderId="1" xfId="0" applyFont="1" applyFill="1" applyBorder="1" applyAlignment="1">
      <alignment vertical="top" wrapText="1"/>
    </xf>
    <xf numFmtId="0" fontId="5" fillId="6" borderId="1" xfId="0" applyFont="1" applyFill="1" applyBorder="1" applyAlignment="1">
      <alignment vertical="top" wrapText="1"/>
    </xf>
    <xf numFmtId="0" fontId="7" fillId="0" borderId="0" xfId="0" applyFont="1"/>
    <xf numFmtId="0" fontId="5" fillId="7" borderId="1" xfId="0" applyFont="1" applyFill="1" applyBorder="1" applyAlignment="1">
      <alignment vertical="top" wrapText="1"/>
    </xf>
    <xf numFmtId="0" fontId="5" fillId="8" borderId="1" xfId="0" applyFont="1" applyFill="1" applyBorder="1" applyAlignment="1">
      <alignment vertical="top" wrapText="1"/>
    </xf>
    <xf numFmtId="0" fontId="8" fillId="6" borderId="0" xfId="0" applyFont="1" applyFill="1" applyAlignment="1">
      <alignment vertical="top" wrapText="1"/>
    </xf>
    <xf numFmtId="0" fontId="9" fillId="0" borderId="0" xfId="0" applyFont="1"/>
    <xf numFmtId="0" fontId="5" fillId="0" borderId="0" xfId="0" applyFont="1"/>
    <xf numFmtId="0" fontId="6" fillId="0" borderId="0" xfId="0" applyFont="1"/>
    <xf numFmtId="0" fontId="10" fillId="0" borderId="0" xfId="0" applyFont="1"/>
    <xf numFmtId="1" fontId="6" fillId="4" borderId="1" xfId="0" applyNumberFormat="1" applyFont="1" applyFill="1" applyBorder="1" applyAlignment="1">
      <alignment vertical="top" wrapText="1"/>
    </xf>
    <xf numFmtId="0" fontId="6" fillId="4" borderId="1" xfId="0" applyFont="1" applyFill="1" applyBorder="1" applyAlignment="1">
      <alignment vertical="top" wrapText="1"/>
    </xf>
    <xf numFmtId="3" fontId="6" fillId="4" borderId="1" xfId="0" applyNumberFormat="1" applyFont="1" applyFill="1" applyBorder="1" applyAlignment="1">
      <alignment vertical="top" wrapText="1"/>
    </xf>
    <xf numFmtId="0" fontId="1" fillId="2" borderId="1" xfId="0" applyFont="1" applyFill="1" applyBorder="1" applyAlignment="1">
      <alignment horizontal="center" vertical="center" wrapText="1"/>
    </xf>
    <xf numFmtId="0" fontId="11" fillId="0" borderId="0" xfId="0" applyFont="1"/>
    <xf numFmtId="0" fontId="10" fillId="5" borderId="0" xfId="0" applyFont="1" applyFill="1" applyAlignment="1">
      <alignment vertical="top" wrapText="1"/>
    </xf>
    <xf numFmtId="0" fontId="5" fillId="5" borderId="0" xfId="0" applyFont="1" applyFill="1" applyAlignment="1">
      <alignment vertical="top" wrapText="1"/>
    </xf>
    <xf numFmtId="0" fontId="0" fillId="5" borderId="0" xfId="0" applyFill="1"/>
    <xf numFmtId="0" fontId="6" fillId="0" borderId="0" xfId="0" applyFont="1" applyAlignment="1">
      <alignment vertical="top" wrapText="1"/>
    </xf>
    <xf numFmtId="0" fontId="5" fillId="3" borderId="0" xfId="0" applyFont="1" applyFill="1" applyAlignment="1">
      <alignment vertical="top" wrapText="1"/>
    </xf>
    <xf numFmtId="0" fontId="5" fillId="6" borderId="0" xfId="0" applyFont="1" applyFill="1" applyAlignment="1">
      <alignment vertical="top" wrapText="1"/>
    </xf>
    <xf numFmtId="0" fontId="5" fillId="7" borderId="0" xfId="0" applyFont="1" applyFill="1" applyAlignment="1">
      <alignment vertical="top" wrapText="1"/>
    </xf>
    <xf numFmtId="0" fontId="6" fillId="0" borderId="1" xfId="0" applyFont="1" applyBorder="1" applyAlignment="1">
      <alignment vertical="top" wrapText="1"/>
    </xf>
    <xf numFmtId="0" fontId="5" fillId="0" borderId="1" xfId="0" applyFont="1" applyBorder="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4"/>
  <sheetViews>
    <sheetView workbookViewId="0">
      <selection activeCell="F37" sqref="F37"/>
    </sheetView>
  </sheetViews>
  <sheetFormatPr defaultColWidth="9" defaultRowHeight="14" outlineLevelCol="3"/>
  <cols>
    <col min="1" max="1" width="39.3727272727273" customWidth="1"/>
    <col min="2" max="2" width="110" customWidth="1"/>
    <col min="3" max="4" width="4" customWidth="1"/>
  </cols>
  <sheetData>
    <row r="1" ht="21" customHeight="1" spans="1:4">
      <c r="A1" s="25" t="s">
        <v>0</v>
      </c>
    </row>
    <row r="2" ht="14.25" customHeight="1" spans="1:4">
      <c r="A2" s="2" t="s">
        <v>1</v>
      </c>
    </row>
    <row r="4" ht="16.5" customHeight="1" spans="1:4">
      <c r="A4" s="26" t="s">
        <v>2</v>
      </c>
      <c r="B4" s="27" t="s">
        <v>3</v>
      </c>
      <c r="C4" s="28"/>
      <c r="D4" s="28"/>
    </row>
    <row r="5" ht="16.5" customHeight="1" spans="1:4">
      <c r="A5" s="29" t="s">
        <v>4</v>
      </c>
      <c r="B5" s="30" t="s">
        <v>5</v>
      </c>
    </row>
    <row r="6" ht="16.5" customHeight="1" spans="1:4">
      <c r="A6" s="29" t="s">
        <v>6</v>
      </c>
      <c r="B6" s="30" t="s">
        <v>7</v>
      </c>
    </row>
    <row r="7" ht="16.5" customHeight="1" spans="1:4">
      <c r="A7" s="29" t="s">
        <v>8</v>
      </c>
      <c r="B7" s="30" t="s">
        <v>9</v>
      </c>
    </row>
    <row r="8" ht="16.5" customHeight="1" spans="1:4">
      <c r="A8" s="29" t="s">
        <v>10</v>
      </c>
      <c r="B8" s="30" t="s">
        <v>11</v>
      </c>
    </row>
    <row r="9" ht="16.5" customHeight="1" spans="1:4">
      <c r="A9" s="29" t="s">
        <v>12</v>
      </c>
      <c r="B9" s="31" t="s">
        <v>13</v>
      </c>
    </row>
    <row r="10" ht="16.5" customHeight="1" spans="1:4">
      <c r="A10" s="29" t="s">
        <v>14</v>
      </c>
      <c r="B10" s="30" t="s">
        <v>15</v>
      </c>
    </row>
    <row r="11" ht="30" customHeight="1" spans="1:4">
      <c r="A11" s="26" t="s">
        <v>16</v>
      </c>
      <c r="B11" s="27" t="s">
        <v>3</v>
      </c>
      <c r="C11" s="28"/>
      <c r="D11" s="28"/>
    </row>
    <row r="12" ht="33" customHeight="1" spans="1:4">
      <c r="A12" s="29" t="s">
        <v>17</v>
      </c>
      <c r="B12" s="30" t="s">
        <v>18</v>
      </c>
    </row>
    <row r="13" ht="16.5" customHeight="1" spans="1:4">
      <c r="A13" s="29" t="s">
        <v>19</v>
      </c>
      <c r="B13" s="30" t="s">
        <v>20</v>
      </c>
    </row>
    <row r="14" ht="33" customHeight="1" spans="1:4">
      <c r="A14" s="29" t="s">
        <v>21</v>
      </c>
      <c r="B14" s="30" t="s">
        <v>22</v>
      </c>
    </row>
    <row r="15" ht="16.5" customHeight="1" spans="1:4">
      <c r="A15" s="29" t="s">
        <v>23</v>
      </c>
      <c r="B15" s="30" t="s">
        <v>24</v>
      </c>
    </row>
    <row r="16" ht="30" customHeight="1" spans="1:4">
      <c r="A16" s="26" t="s">
        <v>25</v>
      </c>
      <c r="B16" s="27" t="s">
        <v>3</v>
      </c>
      <c r="C16" s="28"/>
      <c r="D16" s="28"/>
    </row>
    <row r="17" ht="16.5" customHeight="1" spans="1:4">
      <c r="A17" s="29" t="s">
        <v>26</v>
      </c>
      <c r="B17" s="32" t="s">
        <v>27</v>
      </c>
    </row>
    <row r="18" ht="16.5" customHeight="1" spans="1:4">
      <c r="A18" s="29" t="s">
        <v>28</v>
      </c>
      <c r="B18" s="32" t="s">
        <v>29</v>
      </c>
    </row>
    <row r="19" ht="16.5" customHeight="1" spans="1:4">
      <c r="A19" s="29" t="s">
        <v>30</v>
      </c>
      <c r="B19" s="32" t="s">
        <v>31</v>
      </c>
    </row>
    <row r="20" ht="16.5" customHeight="1" spans="1:4">
      <c r="A20" s="29" t="s">
        <v>32</v>
      </c>
      <c r="B20" s="32" t="s">
        <v>33</v>
      </c>
    </row>
    <row r="21" ht="16.5" customHeight="1" spans="1:4">
      <c r="A21" s="29" t="s">
        <v>34</v>
      </c>
      <c r="B21" s="32" t="s">
        <v>35</v>
      </c>
    </row>
    <row r="22" ht="16.5" customHeight="1" spans="1:4">
      <c r="A22" s="29" t="s">
        <v>36</v>
      </c>
      <c r="B22" s="32" t="s">
        <v>37</v>
      </c>
    </row>
    <row r="23" ht="30" customHeight="1" spans="1:4">
      <c r="A23" s="26" t="s">
        <v>38</v>
      </c>
      <c r="B23" s="27" t="s">
        <v>3</v>
      </c>
      <c r="C23" s="28"/>
      <c r="D23" s="28"/>
    </row>
    <row r="24" ht="16.5" customHeight="1" spans="1:4">
      <c r="A24" s="29" t="s">
        <v>39</v>
      </c>
      <c r="B24" s="30" t="s">
        <v>40</v>
      </c>
    </row>
    <row r="25" ht="16.5" customHeight="1" spans="1:4">
      <c r="A25" s="29" t="s">
        <v>41</v>
      </c>
      <c r="B25" s="30" t="s">
        <v>42</v>
      </c>
    </row>
    <row r="26" ht="16.5" customHeight="1" spans="1:4">
      <c r="A26" s="29" t="s">
        <v>43</v>
      </c>
      <c r="B26" s="30" t="s">
        <v>44</v>
      </c>
    </row>
    <row r="27" ht="16.5" customHeight="1" spans="1:4">
      <c r="A27" s="29" t="s">
        <v>45</v>
      </c>
      <c r="B27" s="30" t="s">
        <v>46</v>
      </c>
    </row>
    <row r="28" ht="16.5" customHeight="1" spans="1:4">
      <c r="A28" s="29" t="s">
        <v>47</v>
      </c>
      <c r="B28" s="30" t="s">
        <v>48</v>
      </c>
    </row>
    <row r="29" ht="16.5" customHeight="1" spans="1:4">
      <c r="A29" s="26" t="s">
        <v>49</v>
      </c>
      <c r="B29" s="27" t="s">
        <v>3</v>
      </c>
      <c r="C29" s="28"/>
      <c r="D29" s="28"/>
    </row>
    <row r="30" ht="16.5" customHeight="1" spans="1:4">
      <c r="A30" s="29" t="s">
        <v>50</v>
      </c>
      <c r="B30" s="30" t="s">
        <v>51</v>
      </c>
    </row>
    <row r="31" ht="33" customHeight="1" spans="1:4">
      <c r="A31" s="33" t="s">
        <v>52</v>
      </c>
      <c r="B31" s="34" t="s">
        <v>53</v>
      </c>
    </row>
    <row r="32" ht="16.5" customHeight="1" spans="1:4">
      <c r="A32" s="33" t="s">
        <v>54</v>
      </c>
      <c r="B32" s="34" t="s">
        <v>55</v>
      </c>
    </row>
    <row r="33" ht="33" customHeight="1" spans="1:2">
      <c r="A33" s="29" t="s">
        <v>56</v>
      </c>
      <c r="B33" s="30" t="s">
        <v>57</v>
      </c>
    </row>
    <row r="34" ht="16.5" customHeight="1" spans="1:2">
      <c r="A34" s="29" t="s">
        <v>58</v>
      </c>
      <c r="B34" s="30" t="s">
        <v>59</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9"/>
  <sheetViews>
    <sheetView workbookViewId="0">
      <pane ySplit="2" topLeftCell="A11" activePane="bottomLeft" state="frozen"/>
      <selection/>
      <selection pane="bottomLeft" activeCell="J4" sqref="J4"/>
    </sheetView>
  </sheetViews>
  <sheetFormatPr defaultColWidth="9" defaultRowHeight="14"/>
  <cols>
    <col min="1" max="1" width="10" customWidth="1"/>
    <col min="2" max="2" width="14" customWidth="1"/>
    <col min="3" max="3" width="12" customWidth="1"/>
    <col min="4" max="4" width="10" customWidth="1"/>
    <col min="5" max="5" width="16" customWidth="1"/>
    <col min="6" max="6" width="12" customWidth="1"/>
    <col min="7" max="7" width="52" customWidth="1"/>
    <col min="8" max="8" width="18" customWidth="1"/>
    <col min="9" max="11" width="30" customWidth="1"/>
  </cols>
  <sheetData>
    <row r="1" ht="18" customHeight="1" spans="1:11">
      <c r="A1" s="17" t="s">
        <v>60</v>
      </c>
    </row>
    <row r="2" ht="18" customHeight="1" spans="1:11">
      <c r="A2" s="24" t="s">
        <v>61</v>
      </c>
      <c r="B2" s="3" t="s">
        <v>62</v>
      </c>
      <c r="C2" s="3" t="s">
        <v>63</v>
      </c>
      <c r="D2" s="3" t="s">
        <v>64</v>
      </c>
      <c r="E2" s="3" t="s">
        <v>65</v>
      </c>
      <c r="F2" s="3" t="s">
        <v>66</v>
      </c>
      <c r="G2" s="3" t="s">
        <v>67</v>
      </c>
      <c r="H2" s="3" t="s">
        <v>68</v>
      </c>
      <c r="I2" s="3" t="s">
        <v>69</v>
      </c>
      <c r="J2" s="3" t="s">
        <v>70</v>
      </c>
      <c r="K2" s="3" t="s">
        <v>71</v>
      </c>
    </row>
    <row r="3" ht="82.5" customHeight="1" spans="1:11">
      <c r="A3" s="5" t="s">
        <v>39</v>
      </c>
      <c r="B3" s="5" t="s">
        <v>72</v>
      </c>
      <c r="C3" s="5" t="s">
        <v>73</v>
      </c>
      <c r="D3" s="5" t="s">
        <v>74</v>
      </c>
      <c r="E3" s="5" t="s">
        <v>74</v>
      </c>
      <c r="F3" s="5" t="s">
        <v>74</v>
      </c>
      <c r="G3" s="12" t="s">
        <v>75</v>
      </c>
      <c r="H3" s="5" t="s">
        <v>76</v>
      </c>
      <c r="I3" s="5" t="s">
        <v>77</v>
      </c>
      <c r="J3" s="14" t="s">
        <v>78</v>
      </c>
      <c r="K3" s="15" t="s">
        <v>79</v>
      </c>
    </row>
    <row r="4" ht="66" customHeight="1" spans="1:11">
      <c r="A4" s="7" t="s">
        <v>39</v>
      </c>
      <c r="B4" s="7" t="s">
        <v>72</v>
      </c>
      <c r="C4" s="7" t="s">
        <v>80</v>
      </c>
      <c r="D4" s="7" t="s">
        <v>74</v>
      </c>
      <c r="E4" s="7" t="s">
        <v>74</v>
      </c>
      <c r="F4" s="7" t="s">
        <v>74</v>
      </c>
      <c r="G4" s="12" t="s">
        <v>81</v>
      </c>
      <c r="H4" s="7" t="s">
        <v>82</v>
      </c>
      <c r="I4" s="7" t="s">
        <v>83</v>
      </c>
      <c r="J4" s="14" t="s">
        <v>84</v>
      </c>
      <c r="K4" s="15" t="s">
        <v>85</v>
      </c>
    </row>
    <row r="5" ht="33" customHeight="1" spans="1:11">
      <c r="A5" s="5" t="s">
        <v>41</v>
      </c>
      <c r="B5" s="5" t="s">
        <v>86</v>
      </c>
      <c r="C5" s="5" t="s">
        <v>87</v>
      </c>
      <c r="D5" s="5" t="s">
        <v>88</v>
      </c>
      <c r="E5" s="5" t="s">
        <v>89</v>
      </c>
      <c r="F5" s="5" t="s">
        <v>90</v>
      </c>
      <c r="G5" s="12" t="s">
        <v>91</v>
      </c>
      <c r="H5" s="5" t="s">
        <v>92</v>
      </c>
      <c r="I5" s="5" t="s">
        <v>93</v>
      </c>
      <c r="J5" s="14" t="s">
        <v>94</v>
      </c>
      <c r="K5" s="15" t="s">
        <v>95</v>
      </c>
    </row>
    <row r="6" ht="33" customHeight="1" spans="1:11">
      <c r="A6" s="7" t="s">
        <v>41</v>
      </c>
      <c r="B6" s="7" t="s">
        <v>86</v>
      </c>
      <c r="C6" s="7" t="s">
        <v>96</v>
      </c>
      <c r="D6" s="7" t="s">
        <v>97</v>
      </c>
      <c r="E6" s="7" t="s">
        <v>98</v>
      </c>
      <c r="F6" s="7" t="s">
        <v>99</v>
      </c>
      <c r="G6" s="12" t="s">
        <v>100</v>
      </c>
      <c r="H6" s="7" t="s">
        <v>92</v>
      </c>
      <c r="I6" s="7" t="s">
        <v>101</v>
      </c>
      <c r="J6" s="14" t="s">
        <v>102</v>
      </c>
      <c r="K6" s="15" t="s">
        <v>103</v>
      </c>
    </row>
    <row r="7" ht="33" customHeight="1" spans="1:11">
      <c r="A7" s="5" t="s">
        <v>41</v>
      </c>
      <c r="B7" s="5" t="s">
        <v>86</v>
      </c>
      <c r="C7" s="5" t="s">
        <v>104</v>
      </c>
      <c r="D7" s="5" t="s">
        <v>105</v>
      </c>
      <c r="E7" s="5" t="s">
        <v>106</v>
      </c>
      <c r="F7" s="5" t="s">
        <v>107</v>
      </c>
      <c r="G7" s="12" t="s">
        <v>108</v>
      </c>
      <c r="H7" s="5" t="s">
        <v>92</v>
      </c>
      <c r="I7" s="5" t="s">
        <v>109</v>
      </c>
      <c r="J7" s="14" t="s">
        <v>110</v>
      </c>
      <c r="K7" s="15" t="s">
        <v>111</v>
      </c>
    </row>
    <row r="8" ht="66" customHeight="1" spans="1:11">
      <c r="A8" s="7" t="s">
        <v>43</v>
      </c>
      <c r="B8" s="7" t="s">
        <v>112</v>
      </c>
      <c r="C8" s="7" t="s">
        <v>87</v>
      </c>
      <c r="D8" s="7" t="s">
        <v>113</v>
      </c>
      <c r="E8" s="7" t="s">
        <v>114</v>
      </c>
      <c r="F8" s="7" t="s">
        <v>90</v>
      </c>
      <c r="G8" s="12" t="s">
        <v>115</v>
      </c>
      <c r="H8" s="7" t="s">
        <v>116</v>
      </c>
      <c r="I8" s="7" t="s">
        <v>117</v>
      </c>
      <c r="J8" s="14" t="s">
        <v>118</v>
      </c>
      <c r="K8" s="15" t="s">
        <v>119</v>
      </c>
    </row>
    <row r="9" ht="33" customHeight="1" spans="1:11">
      <c r="A9" s="5" t="s">
        <v>43</v>
      </c>
      <c r="B9" s="5" t="s">
        <v>112</v>
      </c>
      <c r="C9" s="5" t="s">
        <v>96</v>
      </c>
      <c r="D9" s="5" t="s">
        <v>120</v>
      </c>
      <c r="E9" s="5" t="s">
        <v>121</v>
      </c>
      <c r="F9" s="5" t="s">
        <v>99</v>
      </c>
      <c r="G9" s="12" t="s">
        <v>100</v>
      </c>
      <c r="H9" s="5" t="s">
        <v>122</v>
      </c>
      <c r="I9" s="5" t="s">
        <v>123</v>
      </c>
      <c r="J9" s="14" t="s">
        <v>124</v>
      </c>
      <c r="K9" s="15" t="s">
        <v>125</v>
      </c>
    </row>
    <row r="10" ht="33" customHeight="1" spans="1:11">
      <c r="A10" s="7" t="s">
        <v>43</v>
      </c>
      <c r="B10" s="7" t="s">
        <v>112</v>
      </c>
      <c r="C10" s="7" t="s">
        <v>126</v>
      </c>
      <c r="D10" s="7" t="s">
        <v>120</v>
      </c>
      <c r="E10" s="7" t="s">
        <v>127</v>
      </c>
      <c r="F10" s="7" t="s">
        <v>99</v>
      </c>
      <c r="G10" s="12" t="s">
        <v>108</v>
      </c>
      <c r="H10" s="7" t="s">
        <v>116</v>
      </c>
      <c r="I10" s="7" t="s">
        <v>109</v>
      </c>
      <c r="J10" s="14" t="s">
        <v>128</v>
      </c>
      <c r="K10" s="15" t="s">
        <v>129</v>
      </c>
    </row>
    <row r="11" ht="66" customHeight="1" spans="1:11">
      <c r="A11" s="5" t="s">
        <v>45</v>
      </c>
      <c r="B11" s="5" t="s">
        <v>130</v>
      </c>
      <c r="C11" s="5" t="s">
        <v>87</v>
      </c>
      <c r="D11" s="5" t="s">
        <v>131</v>
      </c>
      <c r="E11" s="5" t="s">
        <v>132</v>
      </c>
      <c r="F11" s="5" t="s">
        <v>90</v>
      </c>
      <c r="G11" s="12" t="s">
        <v>133</v>
      </c>
      <c r="H11" s="5" t="s">
        <v>134</v>
      </c>
      <c r="I11" s="5" t="s">
        <v>135</v>
      </c>
      <c r="J11" s="14" t="s">
        <v>136</v>
      </c>
      <c r="K11" s="15" t="s">
        <v>137</v>
      </c>
    </row>
    <row r="12" ht="33" customHeight="1" spans="1:11">
      <c r="A12" s="7" t="s">
        <v>45</v>
      </c>
      <c r="B12" s="7" t="s">
        <v>130</v>
      </c>
      <c r="C12" s="7" t="s">
        <v>96</v>
      </c>
      <c r="D12" s="7" t="s">
        <v>138</v>
      </c>
      <c r="E12" s="7" t="s">
        <v>139</v>
      </c>
      <c r="F12" s="7" t="s">
        <v>99</v>
      </c>
      <c r="G12" s="12" t="s">
        <v>100</v>
      </c>
      <c r="H12" s="7" t="s">
        <v>140</v>
      </c>
      <c r="I12" s="7" t="s">
        <v>141</v>
      </c>
      <c r="J12" s="14" t="s">
        <v>142</v>
      </c>
      <c r="K12" s="15" t="s">
        <v>143</v>
      </c>
    </row>
    <row r="13" ht="66" customHeight="1" spans="1:11">
      <c r="A13" s="5" t="s">
        <v>45</v>
      </c>
      <c r="B13" s="5" t="s">
        <v>130</v>
      </c>
      <c r="C13" s="5" t="s">
        <v>144</v>
      </c>
      <c r="D13" s="5" t="s">
        <v>138</v>
      </c>
      <c r="E13" s="5" t="s">
        <v>145</v>
      </c>
      <c r="F13" s="5" t="s">
        <v>146</v>
      </c>
      <c r="G13" s="12" t="s">
        <v>108</v>
      </c>
      <c r="H13" s="5" t="s">
        <v>134</v>
      </c>
      <c r="I13" s="5" t="s">
        <v>109</v>
      </c>
      <c r="J13" s="14" t="s">
        <v>147</v>
      </c>
      <c r="K13" s="15" t="s">
        <v>148</v>
      </c>
    </row>
    <row r="14" ht="66" customHeight="1" spans="1:11">
      <c r="A14" s="7" t="s">
        <v>47</v>
      </c>
      <c r="B14" s="7" t="s">
        <v>149</v>
      </c>
      <c r="C14" s="7" t="s">
        <v>87</v>
      </c>
      <c r="D14" s="7" t="s">
        <v>150</v>
      </c>
      <c r="E14" s="7" t="s">
        <v>151</v>
      </c>
      <c r="F14" s="7" t="s">
        <v>90</v>
      </c>
      <c r="G14" s="12" t="s">
        <v>152</v>
      </c>
      <c r="H14" s="7" t="s">
        <v>153</v>
      </c>
      <c r="I14" s="7" t="s">
        <v>154</v>
      </c>
      <c r="J14" s="14" t="s">
        <v>155</v>
      </c>
      <c r="K14" s="15" t="s">
        <v>156</v>
      </c>
    </row>
    <row r="15" ht="33" customHeight="1" spans="1:11">
      <c r="A15" s="5" t="s">
        <v>47</v>
      </c>
      <c r="B15" s="5" t="s">
        <v>149</v>
      </c>
      <c r="C15" s="5" t="s">
        <v>96</v>
      </c>
      <c r="D15" s="5" t="s">
        <v>157</v>
      </c>
      <c r="E15" s="5" t="s">
        <v>158</v>
      </c>
      <c r="F15" s="5" t="s">
        <v>159</v>
      </c>
      <c r="G15" s="12" t="s">
        <v>100</v>
      </c>
      <c r="H15" s="5" t="s">
        <v>160</v>
      </c>
      <c r="I15" s="5" t="s">
        <v>161</v>
      </c>
      <c r="J15" s="14" t="s">
        <v>162</v>
      </c>
      <c r="K15" s="15" t="s">
        <v>163</v>
      </c>
    </row>
    <row r="16" ht="82.5" customHeight="1" spans="1:11">
      <c r="A16" s="5" t="s">
        <v>47</v>
      </c>
      <c r="B16" s="5" t="s">
        <v>149</v>
      </c>
      <c r="C16" s="8" t="s">
        <v>164</v>
      </c>
      <c r="D16" s="5" t="s">
        <v>157</v>
      </c>
      <c r="E16" s="5" t="s">
        <v>165</v>
      </c>
      <c r="F16" s="5" t="s">
        <v>166</v>
      </c>
      <c r="G16" s="12" t="s">
        <v>108</v>
      </c>
      <c r="H16" s="5" t="s">
        <v>153</v>
      </c>
      <c r="I16" s="5" t="s">
        <v>167</v>
      </c>
      <c r="J16" s="14" t="s">
        <v>168</v>
      </c>
      <c r="K16" s="15" t="s">
        <v>169</v>
      </c>
    </row>
    <row r="17" ht="66" customHeight="1" spans="1:11">
      <c r="A17" s="7" t="s">
        <v>47</v>
      </c>
      <c r="B17" s="7" t="s">
        <v>149</v>
      </c>
      <c r="C17" s="22" t="s">
        <v>170</v>
      </c>
      <c r="D17" s="7" t="s">
        <v>171</v>
      </c>
      <c r="E17" s="7" t="s">
        <v>165</v>
      </c>
      <c r="F17" s="7" t="s">
        <v>172</v>
      </c>
      <c r="G17" s="12" t="s">
        <v>173</v>
      </c>
      <c r="H17" s="7" t="s">
        <v>153</v>
      </c>
      <c r="I17" s="7" t="s">
        <v>174</v>
      </c>
      <c r="J17" s="14" t="s">
        <v>175</v>
      </c>
      <c r="K17" s="15" t="s">
        <v>176</v>
      </c>
    </row>
    <row r="19" ht="46" customHeight="1" spans="1:11">
      <c r="A19" s="16" t="s">
        <v>177</v>
      </c>
    </row>
  </sheetData>
  <mergeCells count="1">
    <mergeCell ref="A19:K19"/>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7"/>
  <sheetViews>
    <sheetView workbookViewId="0">
      <pane ySplit="12" topLeftCell="A19" activePane="bottomLeft" state="frozen"/>
      <selection/>
      <selection pane="bottomLeft" activeCell="D16" sqref="D16"/>
    </sheetView>
  </sheetViews>
  <sheetFormatPr defaultColWidth="9" defaultRowHeight="14" outlineLevelCol="7"/>
  <cols>
    <col min="1" max="1" width="14" customWidth="1"/>
    <col min="2" max="2" width="20" customWidth="1"/>
    <col min="3" max="3" width="24" customWidth="1"/>
    <col min="4" max="4" width="22" customWidth="1"/>
    <col min="5" max="6" width="24" customWidth="1"/>
    <col min="7" max="7" width="26" customWidth="1"/>
    <col min="8" max="8" width="44" customWidth="1"/>
  </cols>
  <sheetData>
    <row r="1" ht="18" customHeight="1" spans="1:8">
      <c r="A1" s="17" t="s">
        <v>178</v>
      </c>
    </row>
    <row r="3" spans="1:8">
      <c r="A3" t="s">
        <v>179</v>
      </c>
      <c r="B3" t="s">
        <v>64</v>
      </c>
    </row>
    <row r="4" ht="16.5" customHeight="1" spans="1:8">
      <c r="A4" s="18" t="s">
        <v>180</v>
      </c>
      <c r="B4" s="19">
        <v>200</v>
      </c>
    </row>
    <row r="5" ht="16.5" customHeight="1" spans="1:8">
      <c r="A5" s="18" t="s">
        <v>181</v>
      </c>
      <c r="B5" s="19">
        <v>1000</v>
      </c>
    </row>
    <row r="6" ht="16.5" customHeight="1" spans="1:8">
      <c r="A6" s="18" t="s">
        <v>182</v>
      </c>
      <c r="B6" s="19">
        <v>3000</v>
      </c>
    </row>
    <row r="7" ht="16.5" customHeight="1" spans="1:8">
      <c r="A7" s="18" t="s">
        <v>183</v>
      </c>
      <c r="B7" s="19">
        <v>5000</v>
      </c>
    </row>
    <row r="9" ht="16.5" customHeight="1" spans="1:8">
      <c r="A9" s="20" t="s">
        <v>184</v>
      </c>
      <c r="B9" s="18" t="s">
        <v>185</v>
      </c>
    </row>
    <row r="12" ht="16.5" customHeight="1" spans="1:8">
      <c r="A12" s="3" t="s">
        <v>186</v>
      </c>
      <c r="B12" s="3" t="s">
        <v>187</v>
      </c>
      <c r="C12" s="3" t="s">
        <v>188</v>
      </c>
      <c r="D12" s="3" t="s">
        <v>189</v>
      </c>
      <c r="E12" s="3" t="s">
        <v>190</v>
      </c>
      <c r="F12" s="3" t="s">
        <v>191</v>
      </c>
      <c r="G12" s="3" t="s">
        <v>192</v>
      </c>
      <c r="H12" s="3" t="s">
        <v>193</v>
      </c>
    </row>
    <row r="13" ht="33" customHeight="1" spans="1:8">
      <c r="A13" s="5" t="s">
        <v>8</v>
      </c>
      <c r="B13" s="5" t="s">
        <v>194</v>
      </c>
      <c r="C13" s="5" t="s">
        <v>195</v>
      </c>
      <c r="D13" s="8" t="s">
        <v>196</v>
      </c>
      <c r="E13" s="8" t="s">
        <v>197</v>
      </c>
      <c r="F13" s="8" t="s">
        <v>198</v>
      </c>
      <c r="G13" s="8" t="s">
        <v>199</v>
      </c>
      <c r="H13" s="5" t="s">
        <v>200</v>
      </c>
    </row>
    <row r="14" ht="33" customHeight="1" spans="1:8">
      <c r="A14" s="7" t="s">
        <v>8</v>
      </c>
      <c r="B14" s="7" t="s">
        <v>201</v>
      </c>
      <c r="C14" s="7" t="s">
        <v>202</v>
      </c>
      <c r="D14" s="21">
        <f>MAX(400,ROUND($B$4*1.2,0))</f>
        <v>400</v>
      </c>
      <c r="E14" s="21">
        <f>ROUND($B$5*1.2,0)</f>
        <v>1200</v>
      </c>
      <c r="F14" s="21">
        <f>ROUND($B$6*1.2,0)</f>
        <v>3600</v>
      </c>
      <c r="G14" s="21">
        <f>ROUND($B$7*1.2,0)</f>
        <v>6000</v>
      </c>
      <c r="H14" s="7" t="s">
        <v>203</v>
      </c>
    </row>
    <row r="15" ht="33" customHeight="1" spans="1:8">
      <c r="A15" s="5" t="s">
        <v>8</v>
      </c>
      <c r="B15" s="5" t="s">
        <v>204</v>
      </c>
      <c r="C15" s="5" t="s">
        <v>205</v>
      </c>
      <c r="D15" s="5" t="s">
        <v>206</v>
      </c>
      <c r="E15" s="5" t="s">
        <v>207</v>
      </c>
      <c r="F15" s="5" t="s">
        <v>207</v>
      </c>
      <c r="G15" s="5" t="s">
        <v>207</v>
      </c>
      <c r="H15" s="5" t="s">
        <v>208</v>
      </c>
    </row>
    <row r="16" ht="33" customHeight="1" spans="1:8">
      <c r="A16" s="7" t="s">
        <v>8</v>
      </c>
      <c r="B16" s="7" t="s">
        <v>209</v>
      </c>
      <c r="C16" s="7" t="s">
        <v>210</v>
      </c>
      <c r="D16" s="7" t="s">
        <v>211</v>
      </c>
      <c r="E16" s="7" t="s">
        <v>207</v>
      </c>
      <c r="F16" s="7" t="s">
        <v>207</v>
      </c>
      <c r="G16" s="7" t="s">
        <v>207</v>
      </c>
      <c r="H16" s="7" t="s">
        <v>212</v>
      </c>
    </row>
    <row r="17" ht="33" customHeight="1" spans="1:8">
      <c r="A17" s="5" t="s">
        <v>10</v>
      </c>
      <c r="B17" s="5" t="s">
        <v>194</v>
      </c>
      <c r="C17" s="5" t="s">
        <v>213</v>
      </c>
      <c r="D17" s="8" t="str">
        <f>ROUND(3.2*$B$4/180,1)&amp;" 核等效（副本数见 05 表）"</f>
        <v>3.6 核等效（副本数见 05 表）</v>
      </c>
      <c r="E17" s="8" t="str">
        <f>ROUND(3.2*$B$5/180,1)&amp;" 核等效（副本数见 05 表）"</f>
        <v>17.8 核等效（副本数见 05 表）</v>
      </c>
      <c r="F17" s="8" t="str">
        <f>ROUND(3.2*$B$6/180,1)&amp;" 核等效（副本数见 05 表）"</f>
        <v>53.3 核等效（副本数见 05 表）</v>
      </c>
      <c r="G17" s="8" t="str">
        <f>ROUND(3.2*$B$7/180,1)&amp;" 核等效（副本数见 05 表）"</f>
        <v>88.9 核等效（副本数见 05 表）</v>
      </c>
      <c r="H17" s="5" t="s">
        <v>214</v>
      </c>
    </row>
    <row r="18" ht="33" customHeight="1" spans="1:8">
      <c r="A18" s="7" t="s">
        <v>10</v>
      </c>
      <c r="B18" s="7" t="s">
        <v>215</v>
      </c>
      <c r="C18" s="7" t="s">
        <v>216</v>
      </c>
      <c r="D18" s="7" t="s">
        <v>217</v>
      </c>
      <c r="E18" s="7" t="s">
        <v>218</v>
      </c>
      <c r="F18" s="7" t="s">
        <v>218</v>
      </c>
      <c r="G18" s="7" t="s">
        <v>218</v>
      </c>
      <c r="H18" s="7" t="s">
        <v>219</v>
      </c>
    </row>
    <row r="19" ht="33" customHeight="1" spans="1:8">
      <c r="A19" s="5" t="s">
        <v>220</v>
      </c>
      <c r="B19" s="5" t="s">
        <v>221</v>
      </c>
      <c r="C19" s="5" t="s">
        <v>222</v>
      </c>
      <c r="D19" s="5" t="s">
        <v>223</v>
      </c>
      <c r="E19" s="5" t="s">
        <v>224</v>
      </c>
      <c r="F19" s="5" t="s">
        <v>225</v>
      </c>
      <c r="G19" s="5" t="s">
        <v>226</v>
      </c>
      <c r="H19" s="5" t="s">
        <v>227</v>
      </c>
    </row>
    <row r="20" ht="33" customHeight="1" spans="1:8">
      <c r="A20" s="22" t="s">
        <v>220</v>
      </c>
      <c r="B20" s="22" t="s">
        <v>228</v>
      </c>
      <c r="C20" s="7" t="s">
        <v>229</v>
      </c>
      <c r="D20" s="23">
        <f>ROUND($B$4*12*2.5/60,0)</f>
        <v>100</v>
      </c>
      <c r="E20" s="23">
        <f>ROUND($B$5*12*2.5/60,0)</f>
        <v>500</v>
      </c>
      <c r="F20" s="23">
        <f>ROUND($B$6*12*2.5/60,0)</f>
        <v>1500</v>
      </c>
      <c r="G20" s="23">
        <f>ROUND($B$7*12*2.5/60,0)</f>
        <v>2500</v>
      </c>
      <c r="H20" s="7" t="s">
        <v>230</v>
      </c>
    </row>
    <row r="21" ht="33" customHeight="1" spans="1:8">
      <c r="A21" s="7" t="s">
        <v>231</v>
      </c>
      <c r="B21" s="7" t="s">
        <v>232</v>
      </c>
      <c r="C21" s="7" t="s">
        <v>233</v>
      </c>
      <c r="D21" s="22" t="s">
        <v>234</v>
      </c>
      <c r="E21" s="22" t="s">
        <v>234</v>
      </c>
      <c r="F21" s="22" t="s">
        <v>234</v>
      </c>
      <c r="G21" s="22" t="s">
        <v>234</v>
      </c>
      <c r="H21" s="7" t="s">
        <v>235</v>
      </c>
    </row>
    <row r="22" ht="33" customHeight="1" spans="1:8">
      <c r="A22" s="5" t="s">
        <v>236</v>
      </c>
      <c r="B22" s="5" t="s">
        <v>237</v>
      </c>
      <c r="C22" s="5" t="s">
        <v>238</v>
      </c>
      <c r="D22" s="5" t="s">
        <v>239</v>
      </c>
      <c r="E22" s="5" t="s">
        <v>240</v>
      </c>
      <c r="F22" s="5" t="s">
        <v>241</v>
      </c>
      <c r="G22" s="5" t="s">
        <v>242</v>
      </c>
      <c r="H22" s="5" t="s">
        <v>243</v>
      </c>
    </row>
    <row r="23" ht="33" customHeight="1" spans="1:8">
      <c r="A23" s="7" t="s">
        <v>244</v>
      </c>
      <c r="B23" s="7" t="s">
        <v>245</v>
      </c>
      <c r="C23" s="7" t="s">
        <v>246</v>
      </c>
      <c r="D23" s="7" t="s">
        <v>247</v>
      </c>
      <c r="E23" s="7" t="s">
        <v>248</v>
      </c>
      <c r="F23" s="7" t="s">
        <v>249</v>
      </c>
      <c r="G23" s="7" t="s">
        <v>250</v>
      </c>
      <c r="H23" s="7" t="s">
        <v>251</v>
      </c>
    </row>
    <row r="24" ht="66" customHeight="1" spans="1:8">
      <c r="A24" s="5" t="s">
        <v>244</v>
      </c>
      <c r="B24" s="5" t="s">
        <v>252</v>
      </c>
      <c r="C24" s="5" t="s">
        <v>253</v>
      </c>
      <c r="D24" s="5" t="s">
        <v>254</v>
      </c>
      <c r="E24" s="5" t="s">
        <v>207</v>
      </c>
      <c r="F24" s="5" t="s">
        <v>207</v>
      </c>
      <c r="G24" s="5" t="s">
        <v>207</v>
      </c>
      <c r="H24" s="5" t="s">
        <v>255</v>
      </c>
    </row>
    <row r="25" ht="33" customHeight="1" spans="1:8">
      <c r="A25" s="7" t="s">
        <v>256</v>
      </c>
      <c r="B25" s="7" t="s">
        <v>257</v>
      </c>
      <c r="C25" s="7" t="s">
        <v>258</v>
      </c>
      <c r="D25" s="7" t="s">
        <v>259</v>
      </c>
      <c r="E25" s="7" t="s">
        <v>207</v>
      </c>
      <c r="F25" s="7" t="s">
        <v>207</v>
      </c>
      <c r="G25" s="7" t="s">
        <v>207</v>
      </c>
      <c r="H25" s="7" t="s">
        <v>260</v>
      </c>
    </row>
    <row r="26" ht="33" customHeight="1" spans="1:8">
      <c r="A26" s="5" t="s">
        <v>8</v>
      </c>
      <c r="B26" s="5" t="s">
        <v>261</v>
      </c>
      <c r="C26" s="5" t="s">
        <v>262</v>
      </c>
      <c r="D26" s="5" t="s">
        <v>263</v>
      </c>
      <c r="E26" s="5" t="s">
        <v>264</v>
      </c>
      <c r="F26" s="5" t="s">
        <v>265</v>
      </c>
      <c r="G26" s="5" t="s">
        <v>266</v>
      </c>
      <c r="H26" s="5" t="s">
        <v>267</v>
      </c>
    </row>
    <row r="27" ht="33" customHeight="1" spans="1:8">
      <c r="A27" s="7" t="s">
        <v>10</v>
      </c>
      <c r="B27" s="7" t="s">
        <v>261</v>
      </c>
      <c r="C27" s="7" t="s">
        <v>268</v>
      </c>
      <c r="D27" s="7" t="s">
        <v>269</v>
      </c>
      <c r="E27" s="7" t="s">
        <v>270</v>
      </c>
      <c r="F27" s="7" t="s">
        <v>271</v>
      </c>
      <c r="G27" s="7" t="s">
        <v>272</v>
      </c>
      <c r="H27" s="7" t="s">
        <v>273</v>
      </c>
    </row>
  </sheetData>
  <pageMargins left="0.75" right="0.75" top="1" bottom="1" header="0.5" footer="0.5"/>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8"/>
  <sheetViews>
    <sheetView workbookViewId="0">
      <pane ySplit="1" topLeftCell="A2" activePane="bottomLeft" state="frozen"/>
      <selection/>
      <selection pane="bottomLeft" activeCell="F23" sqref="F23"/>
    </sheetView>
  </sheetViews>
  <sheetFormatPr defaultColWidth="9" defaultRowHeight="14" outlineLevelCol="6"/>
  <cols>
    <col min="1" max="1" width="10" customWidth="1"/>
    <col min="2" max="2" width="16" customWidth="1"/>
    <col min="3" max="3" width="26" customWidth="1"/>
    <col min="4" max="4" width="52" customWidth="1"/>
    <col min="5" max="5" width="12" customWidth="1"/>
    <col min="6" max="6" width="26" customWidth="1"/>
    <col min="7" max="7" width="30" customWidth="1"/>
  </cols>
  <sheetData>
    <row r="1" ht="16.5" customHeight="1" spans="1:7">
      <c r="A1" s="3" t="s">
        <v>274</v>
      </c>
      <c r="B1" s="3" t="s">
        <v>275</v>
      </c>
      <c r="C1" s="3" t="s">
        <v>276</v>
      </c>
      <c r="D1" s="3" t="s">
        <v>277</v>
      </c>
      <c r="E1" s="3" t="s">
        <v>278</v>
      </c>
      <c r="F1" s="3" t="s">
        <v>279</v>
      </c>
      <c r="G1" s="3" t="s">
        <v>280</v>
      </c>
    </row>
    <row r="2" ht="16.5" customHeight="1" spans="1:7">
      <c r="A2" s="5" t="s">
        <v>281</v>
      </c>
      <c r="B2" s="5" t="s">
        <v>282</v>
      </c>
      <c r="C2" s="5" t="s">
        <v>283</v>
      </c>
      <c r="D2" s="5" t="s">
        <v>283</v>
      </c>
      <c r="E2" s="5" t="s">
        <v>284</v>
      </c>
      <c r="F2" s="5" t="s">
        <v>285</v>
      </c>
      <c r="G2" s="14" t="s">
        <v>286</v>
      </c>
    </row>
    <row r="3" ht="16.5" customHeight="1" spans="1:7">
      <c r="A3" s="7" t="s">
        <v>281</v>
      </c>
      <c r="B3" s="7" t="s">
        <v>88</v>
      </c>
      <c r="C3" s="7" t="s">
        <v>283</v>
      </c>
      <c r="D3" s="7" t="s">
        <v>283</v>
      </c>
      <c r="E3" s="7" t="s">
        <v>284</v>
      </c>
      <c r="F3" s="7" t="s">
        <v>287</v>
      </c>
      <c r="G3" s="14" t="s">
        <v>286</v>
      </c>
    </row>
    <row r="4" ht="16.5" customHeight="1" spans="1:7">
      <c r="A4" s="5" t="s">
        <v>281</v>
      </c>
      <c r="B4" s="5" t="s">
        <v>288</v>
      </c>
      <c r="C4" s="5" t="s">
        <v>283</v>
      </c>
      <c r="D4" s="5" t="s">
        <v>283</v>
      </c>
      <c r="E4" s="5" t="s">
        <v>284</v>
      </c>
      <c r="F4" s="5" t="s">
        <v>289</v>
      </c>
      <c r="G4" s="14" t="s">
        <v>286</v>
      </c>
    </row>
    <row r="5" ht="16.5" customHeight="1" spans="1:7">
      <c r="A5" s="7" t="s">
        <v>281</v>
      </c>
      <c r="B5" s="7" t="s">
        <v>97</v>
      </c>
      <c r="C5" s="7" t="s">
        <v>290</v>
      </c>
      <c r="D5" s="7" t="s">
        <v>283</v>
      </c>
      <c r="E5" s="7" t="s">
        <v>291</v>
      </c>
      <c r="F5" s="7" t="s">
        <v>292</v>
      </c>
      <c r="G5" s="15" t="s">
        <v>293</v>
      </c>
    </row>
    <row r="6" ht="16.5" customHeight="1" spans="1:7">
      <c r="A6" s="5" t="s">
        <v>281</v>
      </c>
      <c r="B6" s="5" t="s">
        <v>97</v>
      </c>
      <c r="C6" s="5" t="s">
        <v>294</v>
      </c>
      <c r="D6" s="5" t="s">
        <v>283</v>
      </c>
      <c r="E6" s="5" t="s">
        <v>295</v>
      </c>
      <c r="F6" s="5" t="s">
        <v>296</v>
      </c>
      <c r="G6" s="14" t="s">
        <v>297</v>
      </c>
    </row>
    <row r="7" ht="16.5" customHeight="1" spans="1:7">
      <c r="A7" s="7" t="s">
        <v>298</v>
      </c>
      <c r="B7" s="7" t="s">
        <v>299</v>
      </c>
      <c r="C7" s="7" t="s">
        <v>300</v>
      </c>
      <c r="D7" s="7" t="s">
        <v>301</v>
      </c>
      <c r="E7" s="7" t="s">
        <v>302</v>
      </c>
      <c r="F7" s="7" t="s">
        <v>303</v>
      </c>
      <c r="G7" s="15" t="s">
        <v>304</v>
      </c>
    </row>
    <row r="8" ht="16.5" customHeight="1" spans="1:7">
      <c r="A8" s="5" t="s">
        <v>305</v>
      </c>
      <c r="B8" s="5" t="s">
        <v>299</v>
      </c>
      <c r="C8" s="5" t="s">
        <v>300</v>
      </c>
      <c r="D8" s="5" t="s">
        <v>301</v>
      </c>
      <c r="E8" s="5" t="s">
        <v>284</v>
      </c>
      <c r="F8" s="5" t="s">
        <v>306</v>
      </c>
      <c r="G8" s="14" t="s">
        <v>286</v>
      </c>
    </row>
    <row r="9" ht="16.5" customHeight="1" spans="1:7">
      <c r="A9" s="7" t="s">
        <v>305</v>
      </c>
      <c r="B9" s="7" t="s">
        <v>88</v>
      </c>
      <c r="C9" s="7" t="s">
        <v>300</v>
      </c>
      <c r="D9" s="7" t="s">
        <v>301</v>
      </c>
      <c r="E9" s="7" t="s">
        <v>284</v>
      </c>
      <c r="F9" s="7" t="s">
        <v>307</v>
      </c>
      <c r="G9" s="14" t="s">
        <v>286</v>
      </c>
    </row>
    <row r="10" ht="16.5" customHeight="1" spans="1:7">
      <c r="A10" s="5" t="s">
        <v>305</v>
      </c>
      <c r="B10" s="5" t="s">
        <v>288</v>
      </c>
      <c r="C10" s="5" t="s">
        <v>300</v>
      </c>
      <c r="D10" s="5" t="s">
        <v>301</v>
      </c>
      <c r="E10" s="5" t="s">
        <v>284</v>
      </c>
      <c r="F10" s="5" t="s">
        <v>308</v>
      </c>
      <c r="G10" s="14" t="s">
        <v>286</v>
      </c>
    </row>
    <row r="11" ht="16.5" customHeight="1" spans="1:7">
      <c r="A11" s="7" t="s">
        <v>305</v>
      </c>
      <c r="B11" s="7" t="s">
        <v>97</v>
      </c>
      <c r="C11" s="7" t="s">
        <v>300</v>
      </c>
      <c r="D11" s="7" t="s">
        <v>301</v>
      </c>
      <c r="E11" s="7" t="s">
        <v>309</v>
      </c>
      <c r="F11" s="7" t="s">
        <v>310</v>
      </c>
      <c r="G11" s="15" t="s">
        <v>311</v>
      </c>
    </row>
    <row r="12" ht="16.5" customHeight="1" spans="1:7">
      <c r="A12" s="5" t="s">
        <v>312</v>
      </c>
      <c r="B12" s="5" t="s">
        <v>97</v>
      </c>
      <c r="C12" s="5" t="s">
        <v>300</v>
      </c>
      <c r="D12" s="5" t="s">
        <v>301</v>
      </c>
      <c r="E12" s="5" t="s">
        <v>284</v>
      </c>
      <c r="F12" s="5" t="s">
        <v>313</v>
      </c>
      <c r="G12" s="14" t="s">
        <v>286</v>
      </c>
    </row>
    <row r="13" ht="16.5" customHeight="1" spans="1:7">
      <c r="A13" s="7" t="s">
        <v>312</v>
      </c>
      <c r="B13" s="7" t="s">
        <v>97</v>
      </c>
      <c r="C13" s="7" t="s">
        <v>300</v>
      </c>
      <c r="D13" s="7" t="s">
        <v>314</v>
      </c>
      <c r="E13" s="7" t="s">
        <v>315</v>
      </c>
      <c r="F13" s="7" t="s">
        <v>316</v>
      </c>
      <c r="G13" s="15" t="s">
        <v>311</v>
      </c>
    </row>
    <row r="14" ht="16.5" customHeight="1" spans="1:7">
      <c r="A14" s="5" t="s">
        <v>312</v>
      </c>
      <c r="B14" s="5" t="s">
        <v>288</v>
      </c>
      <c r="C14" s="5" t="s">
        <v>300</v>
      </c>
      <c r="D14" s="5" t="s">
        <v>314</v>
      </c>
      <c r="E14" s="5" t="s">
        <v>317</v>
      </c>
      <c r="F14" s="5" t="s">
        <v>318</v>
      </c>
      <c r="G14" s="14" t="s">
        <v>286</v>
      </c>
    </row>
    <row r="15" ht="16.5" customHeight="1" spans="1:7">
      <c r="A15" s="7" t="s">
        <v>312</v>
      </c>
      <c r="B15" s="7" t="s">
        <v>288</v>
      </c>
      <c r="C15" s="7" t="s">
        <v>300</v>
      </c>
      <c r="D15" s="7" t="s">
        <v>319</v>
      </c>
      <c r="E15" s="7" t="s">
        <v>284</v>
      </c>
      <c r="F15" s="7" t="s">
        <v>320</v>
      </c>
      <c r="G15" s="14" t="s">
        <v>286</v>
      </c>
    </row>
    <row r="16" ht="33" customHeight="1" spans="1:7">
      <c r="A16" s="5" t="s">
        <v>321</v>
      </c>
      <c r="B16" s="5" t="s">
        <v>97</v>
      </c>
      <c r="C16" s="5" t="s">
        <v>300</v>
      </c>
      <c r="D16" s="5" t="s">
        <v>319</v>
      </c>
      <c r="E16" s="5" t="s">
        <v>322</v>
      </c>
      <c r="F16" s="5" t="s">
        <v>323</v>
      </c>
      <c r="G16" s="15" t="s">
        <v>324</v>
      </c>
    </row>
    <row r="18" ht="44" customHeight="1" spans="1:1">
      <c r="A18" s="16" t="s">
        <v>325</v>
      </c>
    </row>
  </sheetData>
  <mergeCells count="1">
    <mergeCell ref="A18:G18"/>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6"/>
  <sheetViews>
    <sheetView tabSelected="1" workbookViewId="0">
      <pane ySplit="4" topLeftCell="A14" activePane="bottomLeft" state="frozen"/>
      <selection/>
      <selection pane="bottomLeft" activeCell="B29" sqref="B29"/>
    </sheetView>
  </sheetViews>
  <sheetFormatPr defaultColWidth="9" defaultRowHeight="14" outlineLevelCol="7"/>
  <cols>
    <col min="1" max="1" width="12" customWidth="1"/>
    <col min="2" max="2" width="24" customWidth="1"/>
    <col min="3" max="3" width="8" customWidth="1"/>
    <col min="4" max="7" width="26" customWidth="1"/>
    <col min="8" max="8" width="46" customWidth="1"/>
  </cols>
  <sheetData>
    <row r="1" ht="18" customHeight="1" spans="1:8">
      <c r="A1" s="1" t="s">
        <v>326</v>
      </c>
    </row>
    <row r="2" ht="14.25" customHeight="1" spans="1:8">
      <c r="A2" s="2" t="s">
        <v>327</v>
      </c>
    </row>
    <row r="4" ht="16.5" customHeight="1" spans="1:8">
      <c r="A4" s="3" t="s">
        <v>328</v>
      </c>
      <c r="B4" s="3" t="s">
        <v>187</v>
      </c>
      <c r="C4" s="3" t="s">
        <v>329</v>
      </c>
      <c r="D4" s="3" t="s">
        <v>330</v>
      </c>
      <c r="E4" s="3" t="s">
        <v>331</v>
      </c>
      <c r="F4" s="3" t="s">
        <v>332</v>
      </c>
      <c r="G4" s="3" t="s">
        <v>333</v>
      </c>
      <c r="H4" s="3" t="s">
        <v>334</v>
      </c>
    </row>
    <row r="5" ht="49.5" customHeight="1" spans="1:8">
      <c r="A5" s="4" t="s">
        <v>335</v>
      </c>
      <c r="B5" s="5" t="s">
        <v>336</v>
      </c>
      <c r="C5" s="5" t="s">
        <v>337</v>
      </c>
      <c r="D5" s="5" t="s">
        <v>196</v>
      </c>
      <c r="E5" s="5" t="s">
        <v>197</v>
      </c>
      <c r="F5" s="5" t="s">
        <v>198</v>
      </c>
      <c r="G5" s="5" t="s">
        <v>199</v>
      </c>
      <c r="H5" s="5" t="s">
        <v>338</v>
      </c>
    </row>
    <row r="6" ht="49.5" customHeight="1" spans="1:8">
      <c r="A6" s="6" t="s">
        <v>335</v>
      </c>
      <c r="B6" s="7" t="s">
        <v>339</v>
      </c>
      <c r="C6" s="7" t="s">
        <v>337</v>
      </c>
      <c r="D6" s="7" t="s">
        <v>340</v>
      </c>
      <c r="E6" s="7" t="s">
        <v>341</v>
      </c>
      <c r="F6" s="7" t="s">
        <v>342</v>
      </c>
      <c r="G6" s="7" t="s">
        <v>343</v>
      </c>
      <c r="H6" s="7" t="s">
        <v>344</v>
      </c>
    </row>
    <row r="7" ht="33" customHeight="1" spans="1:8">
      <c r="A7" s="4" t="s">
        <v>335</v>
      </c>
      <c r="B7" s="5" t="s">
        <v>345</v>
      </c>
      <c r="C7" s="5" t="s">
        <v>346</v>
      </c>
      <c r="D7" s="5" t="s">
        <v>347</v>
      </c>
      <c r="E7" s="5" t="s">
        <v>348</v>
      </c>
      <c r="F7" s="5" t="s">
        <v>349</v>
      </c>
      <c r="G7" s="5" t="s">
        <v>350</v>
      </c>
      <c r="H7" s="5" t="s">
        <v>351</v>
      </c>
    </row>
    <row r="8" ht="33" customHeight="1" spans="1:8">
      <c r="A8" s="6" t="s">
        <v>335</v>
      </c>
      <c r="B8" s="7" t="s">
        <v>352</v>
      </c>
      <c r="C8" s="7" t="s">
        <v>353</v>
      </c>
      <c r="D8" s="7" t="s">
        <v>354</v>
      </c>
      <c r="E8" s="7" t="s">
        <v>355</v>
      </c>
      <c r="F8" s="7" t="s">
        <v>356</v>
      </c>
      <c r="G8" s="7" t="s">
        <v>357</v>
      </c>
      <c r="H8" s="7" t="s">
        <v>358</v>
      </c>
    </row>
    <row r="9" ht="33" customHeight="1" spans="1:8">
      <c r="A9" s="4" t="s">
        <v>359</v>
      </c>
      <c r="B9" s="5" t="s">
        <v>360</v>
      </c>
      <c r="C9" s="5" t="s">
        <v>361</v>
      </c>
      <c r="D9" s="5" t="s">
        <v>362</v>
      </c>
      <c r="E9" s="5" t="s">
        <v>363</v>
      </c>
      <c r="F9" s="5" t="s">
        <v>364</v>
      </c>
      <c r="G9" s="5" t="s">
        <v>365</v>
      </c>
      <c r="H9" s="5" t="s">
        <v>366</v>
      </c>
    </row>
    <row r="10" ht="33" customHeight="1" spans="1:8">
      <c r="A10" s="6" t="s">
        <v>359</v>
      </c>
      <c r="B10" s="7" t="s">
        <v>367</v>
      </c>
      <c r="C10" s="7" t="s">
        <v>368</v>
      </c>
      <c r="D10" s="7" t="s">
        <v>369</v>
      </c>
      <c r="E10" s="7" t="s">
        <v>370</v>
      </c>
      <c r="F10" s="7" t="s">
        <v>371</v>
      </c>
      <c r="G10" s="7" t="s">
        <v>372</v>
      </c>
      <c r="H10" s="7" t="s">
        <v>373</v>
      </c>
    </row>
    <row r="11" ht="33" customHeight="1" spans="1:8">
      <c r="A11" s="4" t="s">
        <v>359</v>
      </c>
      <c r="B11" s="5" t="s">
        <v>374</v>
      </c>
      <c r="C11" s="5" t="s">
        <v>74</v>
      </c>
      <c r="D11" s="5" t="s">
        <v>375</v>
      </c>
      <c r="E11" s="5" t="s">
        <v>376</v>
      </c>
      <c r="F11" s="5" t="s">
        <v>377</v>
      </c>
      <c r="G11" s="5" t="s">
        <v>378</v>
      </c>
      <c r="H11" s="5" t="s">
        <v>379</v>
      </c>
    </row>
    <row r="12" ht="33" customHeight="1" spans="1:8">
      <c r="A12" s="6" t="s">
        <v>359</v>
      </c>
      <c r="B12" s="7" t="s">
        <v>380</v>
      </c>
      <c r="C12" s="7" t="s">
        <v>74</v>
      </c>
      <c r="D12" s="7" t="s">
        <v>381</v>
      </c>
      <c r="E12" s="7" t="s">
        <v>382</v>
      </c>
      <c r="F12" s="7" t="s">
        <v>382</v>
      </c>
      <c r="G12" s="7" t="s">
        <v>382</v>
      </c>
      <c r="H12" s="7" t="s">
        <v>383</v>
      </c>
    </row>
    <row r="13" ht="33" customHeight="1" spans="1:8">
      <c r="A13" s="4" t="s">
        <v>384</v>
      </c>
      <c r="B13" s="5" t="s">
        <v>385</v>
      </c>
      <c r="C13" s="5" t="s">
        <v>386</v>
      </c>
      <c r="D13" s="5" t="s">
        <v>387</v>
      </c>
      <c r="E13" s="5" t="s">
        <v>97</v>
      </c>
      <c r="F13" s="5" t="s">
        <v>388</v>
      </c>
      <c r="G13" s="5" t="s">
        <v>120</v>
      </c>
      <c r="H13" s="5" t="s">
        <v>389</v>
      </c>
    </row>
    <row r="14" ht="33" customHeight="1" spans="1:8">
      <c r="A14" s="6" t="s">
        <v>384</v>
      </c>
      <c r="B14" s="7" t="s">
        <v>390</v>
      </c>
      <c r="C14" s="7" t="s">
        <v>386</v>
      </c>
      <c r="D14" s="7">
        <f>ROUND(17*'03-配置变更清单'!$B$4/200,0)</f>
        <v>17</v>
      </c>
      <c r="E14" s="7">
        <f>ROUND(17*'03-配置变更清单'!$B$5/200,0)</f>
        <v>85</v>
      </c>
      <c r="F14" s="7">
        <f>ROUND(17*'03-配置变更清单'!$B$6/200,0)</f>
        <v>255</v>
      </c>
      <c r="G14" s="7">
        <f>ROUND(17*'03-配置变更清单'!$B$7/200,0)</f>
        <v>425</v>
      </c>
      <c r="H14" s="7" t="s">
        <v>391</v>
      </c>
    </row>
    <row r="15" ht="49.5" customHeight="1" spans="1:8">
      <c r="A15" s="4" t="s">
        <v>384</v>
      </c>
      <c r="B15" s="5" t="s">
        <v>392</v>
      </c>
      <c r="C15" s="5" t="s">
        <v>74</v>
      </c>
      <c r="D15" s="5" t="s">
        <v>393</v>
      </c>
      <c r="E15" s="5" t="s">
        <v>382</v>
      </c>
      <c r="F15" s="5" t="s">
        <v>382</v>
      </c>
      <c r="G15" s="5" t="s">
        <v>382</v>
      </c>
      <c r="H15" s="5" t="s">
        <v>394</v>
      </c>
    </row>
    <row r="16" ht="33" customHeight="1" spans="1:8">
      <c r="A16" s="6" t="s">
        <v>220</v>
      </c>
      <c r="B16" s="7" t="s">
        <v>395</v>
      </c>
      <c r="C16" s="7" t="s">
        <v>353</v>
      </c>
      <c r="D16" s="7" t="s">
        <v>396</v>
      </c>
      <c r="E16" s="7" t="s">
        <v>397</v>
      </c>
      <c r="F16" s="7" t="s">
        <v>398</v>
      </c>
      <c r="G16" s="7" t="s">
        <v>399</v>
      </c>
      <c r="H16" s="7" t="s">
        <v>400</v>
      </c>
    </row>
    <row r="17" ht="16.5" customHeight="1" spans="1:8">
      <c r="A17" s="4" t="s">
        <v>220</v>
      </c>
      <c r="B17" s="5" t="s">
        <v>401</v>
      </c>
      <c r="C17" s="5" t="s">
        <v>74</v>
      </c>
      <c r="D17" s="5" t="s">
        <v>402</v>
      </c>
      <c r="E17" s="5" t="s">
        <v>403</v>
      </c>
      <c r="F17" s="5" t="s">
        <v>404</v>
      </c>
      <c r="G17" s="5" t="s">
        <v>405</v>
      </c>
      <c r="H17" s="5" t="s">
        <v>406</v>
      </c>
    </row>
    <row r="18" ht="33" customHeight="1" spans="1:8">
      <c r="A18" s="8" t="s">
        <v>407</v>
      </c>
      <c r="B18" s="5" t="s">
        <v>408</v>
      </c>
      <c r="C18" s="5" t="s">
        <v>409</v>
      </c>
      <c r="D18" s="5" t="s">
        <v>239</v>
      </c>
      <c r="E18" s="5" t="s">
        <v>410</v>
      </c>
      <c r="F18" s="5" t="s">
        <v>411</v>
      </c>
      <c r="G18" s="5" t="s">
        <v>412</v>
      </c>
      <c r="H18" s="5" t="s">
        <v>413</v>
      </c>
    </row>
    <row r="19" ht="33" customHeight="1" spans="1:8">
      <c r="A19" s="9" t="s">
        <v>407</v>
      </c>
      <c r="B19" s="10" t="s">
        <v>414</v>
      </c>
      <c r="C19" s="10" t="s">
        <v>415</v>
      </c>
      <c r="D19" s="10">
        <f>ROUND('03-配置变更清单'!$B$4*12,0)</f>
        <v>2400</v>
      </c>
      <c r="E19" s="10">
        <f>ROUND('03-配置变更清单'!$B$5*12,0)</f>
        <v>12000</v>
      </c>
      <c r="F19" s="10">
        <f>ROUND('03-配置变更清单'!$B$6*12,0)</f>
        <v>36000</v>
      </c>
      <c r="G19" s="10">
        <f>ROUND('03-配置变更清单'!$B$7*12,0)</f>
        <v>60000</v>
      </c>
      <c r="H19" s="10" t="s">
        <v>416</v>
      </c>
    </row>
    <row r="20" ht="49.5" customHeight="1" spans="1:8">
      <c r="A20" s="9" t="s">
        <v>407</v>
      </c>
      <c r="B20" s="10" t="s">
        <v>417</v>
      </c>
      <c r="C20" s="10" t="s">
        <v>418</v>
      </c>
      <c r="D20" s="10" t="str">
        <f>ROUND('03-配置变更清单'!$B$4*12*2515/10000,0)&amp;" 万"</f>
        <v>604 万</v>
      </c>
      <c r="E20" s="10" t="str">
        <f>ROUND('03-配置变更清单'!$B$5*12*2515/10000,0)&amp;" 万"</f>
        <v>3018 万</v>
      </c>
      <c r="F20" s="10" t="str">
        <f>ROUND('03-配置变更清单'!$B$6*12*2515/10000,0)&amp;" 万"</f>
        <v>9054 万</v>
      </c>
      <c r="G20" s="10" t="str">
        <f>ROUND('03-配置变更清单'!$B$7*12*2515/10000,0)&amp;" 万（≈1.5 亿）"</f>
        <v>15090 万（≈1.5 亿）</v>
      </c>
      <c r="H20" s="10" t="s">
        <v>419</v>
      </c>
    </row>
    <row r="21" ht="49.5" customHeight="1" spans="1:8">
      <c r="A21" s="11" t="s">
        <v>407</v>
      </c>
      <c r="B21" s="12" t="s">
        <v>420</v>
      </c>
      <c r="C21" s="12" t="s">
        <v>421</v>
      </c>
      <c r="D21" s="12" t="s">
        <v>422</v>
      </c>
      <c r="E21" s="12" t="s">
        <v>423</v>
      </c>
      <c r="F21" s="12" t="s">
        <v>424</v>
      </c>
      <c r="G21" s="12" t="s">
        <v>425</v>
      </c>
      <c r="H21" s="12" t="s">
        <v>426</v>
      </c>
    </row>
    <row r="22" ht="66" customHeight="1" spans="1:8">
      <c r="A22" s="11" t="s">
        <v>407</v>
      </c>
      <c r="B22" s="12" t="s">
        <v>427</v>
      </c>
      <c r="C22" s="12" t="s">
        <v>74</v>
      </c>
      <c r="D22" s="12" t="s">
        <v>428</v>
      </c>
      <c r="E22" s="12" t="s">
        <v>429</v>
      </c>
      <c r="F22" s="12" t="s">
        <v>430</v>
      </c>
      <c r="G22" s="12" t="s">
        <v>431</v>
      </c>
      <c r="H22" s="12" t="s">
        <v>432</v>
      </c>
    </row>
    <row r="23" ht="49.5" customHeight="1" spans="1:8">
      <c r="A23" s="4" t="s">
        <v>244</v>
      </c>
      <c r="B23" s="5" t="s">
        <v>433</v>
      </c>
      <c r="C23" s="5" t="s">
        <v>434</v>
      </c>
      <c r="D23" s="5" t="s">
        <v>435</v>
      </c>
      <c r="E23" s="5" t="s">
        <v>436</v>
      </c>
      <c r="F23" s="5" t="s">
        <v>437</v>
      </c>
      <c r="G23" s="5" t="s">
        <v>438</v>
      </c>
      <c r="H23" s="5" t="s">
        <v>439</v>
      </c>
    </row>
    <row r="24" ht="16.5" customHeight="1" spans="1:8">
      <c r="A24" s="6" t="s">
        <v>440</v>
      </c>
      <c r="B24" s="7" t="s">
        <v>441</v>
      </c>
      <c r="C24" s="7" t="s">
        <v>74</v>
      </c>
      <c r="D24" s="7" t="s">
        <v>442</v>
      </c>
      <c r="E24" s="7" t="s">
        <v>382</v>
      </c>
      <c r="F24" s="7" t="s">
        <v>382</v>
      </c>
      <c r="G24" s="7" t="s">
        <v>382</v>
      </c>
      <c r="H24" s="7" t="s">
        <v>443</v>
      </c>
    </row>
    <row r="26" ht="16.5" customHeight="1" spans="1:8">
      <c r="A26" s="13" t="s">
        <v>444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01-计划总览</vt:lpstr>
      <vt:lpstr>02-周计划明细</vt:lpstr>
      <vt:lpstr>03-配置变更清单</vt:lpstr>
      <vt:lpstr>04-历史基线</vt:lpstr>
      <vt:lpstr>05-每周基建设置要求</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Zer</cp:lastModifiedBy>
  <dcterms:created xsi:type="dcterms:W3CDTF">2026-10-24T03:04:00Z</dcterms:created>
  <dcterms:modified xsi:type="dcterms:W3CDTF">2026-10-26T08:52:07Z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51AD0BF9E8E3422095F62E666115F96C_13</vt:lpwstr>
  </property>
  <property fmtid="{D5CDD505-2E9C-101B-9397-08002B2CF9AE}" pid="3" name="KSOProductBuildVer">
    <vt:lpwstr>2052-12.1.0.29161</vt:lpwstr>
  </property>
  <property fmtid="{D5CDD505-2E9C-101B-9397-08002B2CF9AE}" pid="4" name="CalculationRule">
    <vt:i4>0</vt:i4>
  </property>
</Properties>
</file>